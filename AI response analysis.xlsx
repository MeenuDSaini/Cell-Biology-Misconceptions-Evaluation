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Cell-Biology-Misconceptions-Evaluation\"/>
    </mc:Choice>
  </mc:AlternateContent>
  <xr:revisionPtr revIDLastSave="0" documentId="13_ncr:1_{65E727D1-DF87-4818-B143-5B3F1ECCB834}" xr6:coauthVersionLast="47" xr6:coauthVersionMax="47" xr10:uidLastSave="{00000000-0000-0000-0000-000000000000}"/>
  <bookViews>
    <workbookView xWindow="0" yWindow="0" windowWidth="11280" windowHeight="12204" xr2:uid="{CC19697D-DDCA-44B7-A586-36CE1978274E}"/>
  </bookViews>
  <sheets>
    <sheet name="Project Overview &amp; Scoring Rubr" sheetId="4" r:id="rId1"/>
    <sheet name="AI response evaluation " sheetId="1" r:id="rId2"/>
    <sheet name="AI model performance summary" sheetId="2" r:id="rId3"/>
    <sheet name="Charts &amp; Observations" sheetId="3" r:id="rId4"/>
  </sheets>
  <definedNames>
    <definedName name="_xlnm.Print_Area" localSheetId="1">'AI response evaluation '!$A$1:$M$33</definedName>
    <definedName name="_xlnm.Print_Area" localSheetId="0">'Project Overview &amp; Scoring Rubr'!$A$1:$E$34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<sst xmlns="http://schemas.openxmlformats.org/spreadsheetml/2006/main" count="286" uniqueCount="178">
  <si>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</si>
  <si>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</si>
  <si>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</si>
  <si>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</si>
  <si>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</si>
  <si>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</si>
  <si>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</si>
  <si>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</si>
  <si>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</si>
  <si>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</si>
  <si>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</si>
  <si>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</si>
  <si>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</si>
  <si>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</si>
  <si>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</si>
  <si>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</si>
  <si>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</si>
  <si>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</si>
  <si>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</si>
  <si>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</si>
  <si>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</si>
  <si>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</si>
  <si>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</si>
  <si>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</si>
  <si>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</si>
  <si>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</si>
  <si>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</si>
  <si>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</si>
  <si>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</si>
  <si>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</si>
  <si>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</si>
  <si>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</si>
  <si>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</si>
  <si>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</si>
  <si>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</si>
  <si>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</si>
  <si>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</si>
  <si>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</si>
  <si>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</si>
  <si>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</si>
  <si>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</si>
  <si>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</si>
  <si>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</si>
  <si>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</si>
  <si>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</si>
  <si>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</si>
  <si>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</si>
  <si>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</si>
  <si>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</si>
  <si>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</si>
  <si>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</si>
  <si>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</si>
  <si>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</si>
  <si>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</si>
  <si>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</si>
  <si>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</si>
  <si>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</si>
  <si>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</si>
  <si>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</si>
  <si>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</si>
  <si>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</si>
  <si>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</si>
  <si>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</si>
  <si>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</si>
  <si>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</si>
  <si>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Correct answer; short and  clear.     (Model could also mention size for example to make it more clear and precise. For example: Human cell: ~10–100 micrometers in diameter.
- DNA double helix: ~2 nanometers wide.
- That’s a difference of thousands of times — the cell is vastly larger than the DNA inside it.)</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</si>
  <si>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</si>
  <si>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</si>
  <si>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</si>
  <si>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</si>
  <si>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</si>
  <si>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</si>
  <si>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</si>
  <si>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</si>
  <si>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</si>
  <si>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</si>
  <si>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</si>
  <si>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</si>
  <si>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</si>
  <si>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</si>
  <si>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</si>
  <si>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</si>
  <si>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</si>
  <si>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</si>
  <si>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</si>
  <si>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</si>
  <si>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</si>
  <si>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</si>
  <si>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</si>
  <si>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</si>
  <si>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 xml:space="preserve">Scoring Rubric: </t>
  </si>
  <si>
    <t>No correction needed. (Optional: add numeric comparison: cell ~10–100 µm vs DNA ~2 m when stretched for clarity.)</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</si>
  <si>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</si>
  <si>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</si>
  <si>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</si>
  <si>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</si>
  <si>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</si>
  <si>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</si>
  <si>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</si>
  <si>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</si>
  <si>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</si>
  <si>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</si>
  <si>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</si>
  <si>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</si>
  <si>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</si>
  <si>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</si>
  <si>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</si>
  <si>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</si>
  <si>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</si>
  <si>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</si>
  <si>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</si>
  <si>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</si>
  <si>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</si>
  <si>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</si>
  <si>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</si>
  <si>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</si>
  <si>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</si>
  <si>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</si>
  <si>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</si>
  <si>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</si>
  <si>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</si>
  <si>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</si>
  <si>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</si>
  <si>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</si>
  <si>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</si>
  <si>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</si>
  <si>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</si>
  <si>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</si>
  <si>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</si>
  <si>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</si>
  <si>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</si>
  <si>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</si>
  <si>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</si>
  <si>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</si>
  <si>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</si>
  <si>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</si>
  <si>
    <t>Category Scoring (1–5 per response)</t>
  </si>
  <si>
    <t>Score</t>
  </si>
  <si>
    <t>Meaning</t>
  </si>
  <si>
    <t>Poor — incorrect or unclear</t>
  </si>
  <si>
    <t>Fair — partly correct or vague</t>
  </si>
  <si>
    <t>Very Good — correct and clear</t>
  </si>
  <si>
    <t>Final Correctness Score (0–2)</t>
  </si>
  <si>
    <t>Final Score</t>
  </si>
  <si>
    <t>Cell Biology Misconceptions - AI Model Evaluation</t>
  </si>
  <si>
    <t>Fully correct &amp; clear</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</si>
  <si>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</si>
  <si>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Good — correct but minimal</t>
  </si>
  <si>
    <t>Excellent — Fully correct, clear &amp; well framed</t>
  </si>
  <si>
    <t>Description</t>
  </si>
  <si>
    <t>Contains factual errors, confusion, or fails to answer properly.</t>
  </si>
  <si>
    <t>Some correct ideas, but missing key points or unclear phrasing.</t>
  </si>
  <si>
    <t>Accurate and understandable, but lacks clarity/detail that would improve it.</t>
  </si>
  <si>
    <t>Scientifically accurate and well phrased. Minor extra detail could improve depth.</t>
  </si>
  <si>
    <r>
      <t xml:space="preserve">Direct answer that completely resolves the question. Can be short </t>
    </r>
    <r>
      <rPr>
        <b/>
        <sz val="11"/>
        <color theme="1"/>
        <rFont val="Aptos Narrow"/>
        <family val="2"/>
        <scheme val="minor"/>
      </rPr>
      <t>or</t>
    </r>
    <r>
      <rPr>
        <sz val="11"/>
        <color theme="1"/>
        <rFont val="Aptos Narrow"/>
        <family val="2"/>
        <scheme val="minor"/>
      </rPr>
      <t xml:space="preserve"> detailed—both qualify if the response is precise, clear, and leaves no important gap</t>
    </r>
  </si>
  <si>
    <t>Correct but phrasing is confusing or partially misleading</t>
  </si>
  <si>
    <t>Incorrect or reinforces misconception</t>
  </si>
  <si>
    <t>Dataset Type:</t>
  </si>
  <si>
    <t>AI Biological Knowledge Evaluation</t>
  </si>
  <si>
    <t>Domain:</t>
  </si>
  <si>
    <t>Cell Biology &amp; Misconceptions</t>
  </si>
  <si>
    <t>Data Collection Period:</t>
  </si>
  <si>
    <t>15–30 Nov 2025</t>
  </si>
  <si>
    <t>Models Evaluated:</t>
  </si>
  <si>
    <t>ChatGPT-5, Claude (latest public), Copilot</t>
  </si>
  <si>
    <t>Evaluation Method:</t>
  </si>
  <si>
    <t>Responses copied verbatim; assessed manually and scored numerically</t>
  </si>
  <si>
    <t>Sources Consulted:</t>
  </si>
  <si>
    <t>OpenStax Biology 2e, Khan Academy, Encyclopaedia Britannica, PubMed Central (PMC3005844) (Nov–Dec 2025)</t>
  </si>
  <si>
    <t>Project Overview &amp; Scoring Rubric</t>
  </si>
  <si>
    <t>Factual correctness (no scientific errors)</t>
  </si>
  <si>
    <t>Understandable and well-phrased</t>
  </si>
  <si>
    <t>Fully addresses the question</t>
  </si>
  <si>
    <t>Note:</t>
  </si>
  <si>
    <t>Differences in length/detail do not affect score unless they introduce confusion or misinformation</t>
  </si>
  <si>
    <t>Accuracy :</t>
  </si>
  <si>
    <t>Clarity:</t>
  </si>
  <si>
    <t>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</si>
</sst>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4"/>
      <color theme="1"/>
      <name val="Aptos Narrow"/>
      <family val="2"/>
      <scheme val="minor"/>
    </font>
    <font>
      <sz val="11"/>
      <color rgb="FF1F2328"/>
      <name val="Aptos Display"/>
      <family val="2"/>
      <scheme val="major"/>
    </font>
    <font>
      <sz val="11"/>
      <color theme="1"/>
      <name val="Aptos Display"/>
      <family val="2"/>
      <scheme val="major"/>
    </font>
    <font>
      <b/>
      <sz val="11"/>
      <color theme="1"/>
      <name val="Aptos Display"/>
      <family val="2"/>
      <scheme val="major"/>
    </font>
    <font>
      <b/>
      <sz val="20"/>
      <color theme="1"/>
      <name val="Aptos Narrow"/>
      <family val="2"/>
      <scheme val="minor"/>
    </font>
    <font>
      <b/>
      <sz val="10"/>
      <color theme="1"/>
      <name val="Aptos Narrow"/>
      <family val="2"/>
      <scheme val="minor"/>
    </font>
    <font>
      <sz val="9"/>
      <color theme="1"/>
      <name val="Aptos Narrow"/>
      <family val="2"/>
      <scheme val="minor"/>
    </font>
    <font>
      <b/>
      <sz val="11"/>
      <color rgb="FF1F2328"/>
      <name val="Aptos Display"/>
      <family val="2"/>
      <scheme val="major"/>
    </font>
    <font>
      <i/>
      <sz val="11"/>
      <color theme="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
      <left style="thin">
        <color theme="1"/>
      </left>
      <right style="thin">
        <color theme="1"/>
      </right>
      <top style="thin">
        <color theme="1"/>
      </top>
      <bottom style="thin">
        <color theme="1"/>
      </bottom>
      <diagonal/>
    </border>
  </borders>
  <cellStyleXfs count="1">
    <xf numFmtId="0" fontId="0" fillId="0" borderId="0"/>
  </cellStyleXfs>
  <cellXfs count="80">
    <xf numFmtId="0" fontId="0" fillId="0" borderId="0" xfId="0"/>
    <xf numFmtId="0" fontId="2" fillId="0" borderId="0" xfId="0" applyFont="1" applyAlignment="1">
      <alignment vertical="center"/>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9" xfId="0" applyBorder="1" applyAlignment="1">
      <alignment horizontal="center" vertical="center" wrapText="1"/>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4"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left" vertical="center" indent="1"/>
    </xf>
    <xf numFmtId="0" fontId="5" fillId="0" borderId="0" xfId="0" applyFont="1" applyAlignment="1">
      <alignment horizontal="left" vertical="center"/>
    </xf>
    <xf numFmtId="0" fontId="6" fillId="0" borderId="0" xfId="0" applyFont="1"/>
    <xf numFmtId="0" fontId="7" fillId="0" borderId="0" xfId="0" applyFont="1"/>
    <xf numFmtId="0" fontId="7" fillId="0" borderId="0" xfId="0" applyFont="1" applyAlignment="1">
      <alignment vertical="center"/>
    </xf>
    <xf numFmtId="0" fontId="8" fillId="0" borderId="0" xfId="0" applyFont="1"/>
    <xf numFmtId="0" fontId="9" fillId="0" borderId="3" xfId="0" applyFont="1" applyBorder="1" applyAlignment="1">
      <alignment horizontal="center" vertical="center" wrapText="1"/>
    </xf>
    <xf numFmtId="0" fontId="10" fillId="0" borderId="4" xfId="0" applyFont="1" applyBorder="1" applyAlignment="1">
      <alignment horizontal="left" vertical="top" wrapText="1"/>
    </xf>
    <xf numFmtId="0" fontId="10" fillId="0" borderId="1" xfId="0" applyFont="1" applyBorder="1" applyAlignment="1">
      <alignment horizontal="left" vertical="center" wrapText="1"/>
    </xf>
    <xf numFmtId="0" fontId="10" fillId="0" borderId="9" xfId="0" applyFont="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center" wrapText="1"/>
    </xf>
    <xf numFmtId="0" fontId="10" fillId="0" borderId="5" xfId="0" applyFont="1" applyBorder="1" applyAlignment="1">
      <alignment horizontal="left" vertical="top" wrapText="1"/>
    </xf>
    <xf numFmtId="0" fontId="10" fillId="0" borderId="5" xfId="0" applyFont="1" applyBorder="1" applyAlignment="1">
      <alignment horizontal="center" vertical="center" wrapText="1"/>
    </xf>
    <xf numFmtId="0" fontId="10" fillId="0" borderId="0" xfId="0" applyFont="1" applyAlignment="1">
      <alignment horizontal="left" vertical="top" wrapText="1"/>
    </xf>
    <xf numFmtId="0" fontId="10" fillId="0" borderId="4" xfId="0" applyFont="1" applyBorder="1" applyAlignment="1">
      <alignment horizontal="center" vertical="center" wrapText="1"/>
    </xf>
    <xf numFmtId="0" fontId="10" fillId="0" borderId="1" xfId="0" applyFont="1" applyBorder="1" applyAlignment="1">
      <alignment horizontal="center" vertical="center"/>
    </xf>
    <xf numFmtId="0" fontId="10" fillId="0" borderId="6" xfId="0" applyFont="1" applyBorder="1" applyAlignment="1">
      <alignment horizontal="center" vertical="center"/>
    </xf>
    <xf numFmtId="0" fontId="10" fillId="0" borderId="8" xfId="0" applyFont="1" applyBorder="1" applyAlignment="1">
      <alignment horizontal="left" vertical="top" wrapText="1"/>
    </xf>
    <xf numFmtId="0" fontId="10" fillId="0" borderId="5" xfId="0" applyFont="1" applyBorder="1" applyAlignment="1">
      <alignment horizontal="center" vertical="center"/>
    </xf>
    <xf numFmtId="0" fontId="10" fillId="0" borderId="3" xfId="0" applyFont="1" applyBorder="1" applyAlignment="1">
      <alignment horizontal="left" vertical="top" wrapText="1"/>
    </xf>
    <xf numFmtId="0" fontId="10" fillId="0" borderId="6" xfId="0" applyFont="1" applyBorder="1" applyAlignment="1">
      <alignment horizontal="left" vertical="top" wrapText="1"/>
    </xf>
    <xf numFmtId="0" fontId="10" fillId="0" borderId="4" xfId="0" applyFont="1" applyBorder="1" applyAlignment="1">
      <alignment vertical="center" wrapText="1"/>
    </xf>
    <xf numFmtId="0" fontId="10" fillId="0" borderId="9" xfId="0" applyFont="1" applyBorder="1" applyAlignment="1">
      <alignment horizontal="center" vertical="center" wrapText="1"/>
    </xf>
    <xf numFmtId="0" fontId="10" fillId="0" borderId="1" xfId="0" applyFont="1" applyBorder="1" applyAlignment="1">
      <alignment vertical="center" wrapText="1"/>
    </xf>
    <xf numFmtId="0" fontId="10" fillId="0" borderId="5" xfId="0" applyFont="1" applyBorder="1" applyAlignment="1">
      <alignment vertical="center" wrapText="1"/>
    </xf>
    <xf numFmtId="0" fontId="10"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1" fillId="0" borderId="1" xfId="0" applyFont="1" applyBorder="1" applyAlignment="1">
      <alignment horizontal="center" vertical="center"/>
    </xf>
    <xf numFmtId="0" fontId="11" fillId="2" borderId="19" xfId="0" applyFont="1" applyFill="1" applyBorder="1" applyAlignment="1">
      <alignment horizontal="center" vertical="center" wrapText="1"/>
    </xf>
    <xf numFmtId="0" fontId="11" fillId="3" borderId="19" xfId="0" applyFont="1" applyFill="1" applyBorder="1" applyAlignment="1">
      <alignment horizontal="center" vertical="center" wrapText="1"/>
    </xf>
    <xf numFmtId="0" fontId="1" fillId="0" borderId="0" xfId="0" applyFont="1" applyAlignment="1">
      <alignment horizontal="left" vertical="center"/>
    </xf>
    <xf numFmtId="0" fontId="11" fillId="0" borderId="0" xfId="0" applyFont="1" applyAlignment="1">
      <alignment horizontal="left" vertical="center"/>
    </xf>
    <xf numFmtId="0" fontId="6" fillId="0" borderId="1" xfId="0" applyFont="1" applyBorder="1" applyAlignment="1">
      <alignment horizontal="left" vertical="center" wrapText="1"/>
    </xf>
    <xf numFmtId="0" fontId="5" fillId="2" borderId="19" xfId="0" applyFont="1" applyFill="1" applyBorder="1" applyAlignment="1">
      <alignment horizontal="left" vertical="center" wrapText="1"/>
    </xf>
    <xf numFmtId="0" fontId="1" fillId="0" borderId="0" xfId="0" applyFont="1" applyAlignment="1">
      <alignment vertical="center" wrapText="1"/>
    </xf>
    <xf numFmtId="0" fontId="0" fillId="0" borderId="0" xfId="0" applyAlignment="1">
      <alignment horizontal="left" vertical="center" wrapText="1"/>
    </xf>
    <xf numFmtId="0" fontId="7" fillId="0" borderId="1" xfId="0" applyFont="1" applyBorder="1" applyAlignment="1">
      <alignment horizontal="center" vertical="center"/>
    </xf>
    <xf numFmtId="0" fontId="7" fillId="0" borderId="0" xfId="0" applyFont="1" applyAlignment="1">
      <alignment horizontal="center" vertical="center"/>
    </xf>
    <xf numFmtId="0" fontId="6" fillId="0" borderId="0" xfId="0" applyFont="1" applyAlignment="1">
      <alignment horizontal="left" vertical="center" wrapText="1"/>
    </xf>
    <xf numFmtId="0" fontId="6" fillId="0" borderId="0" xfId="0" applyFont="1" applyAlignment="1">
      <alignment horizontal="left" vertical="top"/>
    </xf>
    <xf numFmtId="0" fontId="0" fillId="0" borderId="0" xfId="0" applyAlignment="1">
      <alignment horizontal="left" vertical="center" wrapText="1"/>
    </xf>
    <xf numFmtId="0" fontId="12" fillId="0" borderId="0" xfId="0" applyFont="1" applyAlignment="1">
      <alignment horizontal="left"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4" fillId="0" borderId="18"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CE04-2A72-4EFE-A565-1DDF7A460F08}">
  <dimension ref="A1:L42"/>
  <sheetViews>
    <sheetView tabSelected="1" zoomScale="85" zoomScaleNormal="85" workbookViewId="0">
      <selection activeCell="C31" sqref="C31"/>
    </sheetView>
  </sheetViews>
  <sheetFormatPr defaultRowHeight="14.4" x14ac:dyDescent="0.3"/>
  <cols>
    <col min="1" max="1" width="17.6640625" customWidth="1"/>
    <col min="2" max="2" width="36" customWidth="1"/>
    <col min="3" max="3" width="58.6640625" customWidth="1"/>
    <col min="4" max="4" width="9.44140625" customWidth="1"/>
    <col min="5" max="5" width="18.88671875"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0.6" customHeight="1" x14ac:dyDescent="0.5">
      <c r="A1" s="37" t="s">
        <v>144</v>
      </c>
    </row>
    <row r="2" spans="1:12" ht="22.2" customHeight="1" x14ac:dyDescent="0.35">
      <c r="A2" s="17" t="s">
        <v>169</v>
      </c>
    </row>
    <row r="3" spans="1:12" ht="18.600000000000001" customHeight="1" x14ac:dyDescent="0.3">
      <c r="A3" s="5"/>
    </row>
    <row r="4" spans="1:12" ht="24" customHeight="1" x14ac:dyDescent="0.3">
      <c r="A4" s="69" t="s">
        <v>157</v>
      </c>
      <c r="B4" s="19" t="s">
        <v>158</v>
      </c>
      <c r="C4" s="19"/>
    </row>
    <row r="5" spans="1:12" ht="24" customHeight="1" x14ac:dyDescent="0.3">
      <c r="A5" s="69" t="s">
        <v>159</v>
      </c>
      <c r="B5" s="19" t="s">
        <v>160</v>
      </c>
      <c r="C5" s="19"/>
    </row>
    <row r="6" spans="1:12" ht="24" customHeight="1" x14ac:dyDescent="0.3">
      <c r="A6" s="69" t="s">
        <v>161</v>
      </c>
      <c r="B6" s="19" t="s">
        <v>162</v>
      </c>
      <c r="C6" s="19"/>
    </row>
    <row r="7" spans="1:12" ht="24" customHeight="1" x14ac:dyDescent="0.3">
      <c r="A7" s="69" t="s">
        <v>163</v>
      </c>
      <c r="B7" s="19" t="s">
        <v>164</v>
      </c>
      <c r="C7" s="19"/>
      <c r="D7" s="6"/>
      <c r="E7" s="6"/>
      <c r="F7" s="6"/>
      <c r="G7" s="6"/>
      <c r="H7" s="6"/>
      <c r="I7" s="6"/>
      <c r="J7" s="6"/>
      <c r="K7" s="6"/>
      <c r="L7" s="6"/>
    </row>
    <row r="8" spans="1:12" ht="24" customHeight="1" x14ac:dyDescent="0.3">
      <c r="A8" s="69" t="s">
        <v>165</v>
      </c>
      <c r="B8" s="75" t="s">
        <v>166</v>
      </c>
      <c r="C8" s="75"/>
    </row>
    <row r="9" spans="1:12" ht="28.8" customHeight="1" x14ac:dyDescent="0.3">
      <c r="A9" s="69" t="s">
        <v>167</v>
      </c>
      <c r="B9" s="75" t="s">
        <v>168</v>
      </c>
      <c r="C9" s="75"/>
    </row>
    <row r="10" spans="1:12" ht="12" customHeight="1" x14ac:dyDescent="0.3">
      <c r="A10" s="69"/>
      <c r="B10" s="70"/>
      <c r="C10" s="70"/>
    </row>
    <row r="11" spans="1:12" ht="11.4" customHeight="1" x14ac:dyDescent="0.3">
      <c r="A11" s="33"/>
    </row>
    <row r="12" spans="1:12" x14ac:dyDescent="0.3">
      <c r="A12" s="36" t="s">
        <v>90</v>
      </c>
      <c r="B12" s="34"/>
      <c r="C12" s="34"/>
      <c r="D12" s="34"/>
    </row>
    <row r="13" spans="1:12" ht="12" customHeight="1" x14ac:dyDescent="0.3">
      <c r="A13" s="18"/>
      <c r="B13" s="18"/>
      <c r="C13" s="34"/>
      <c r="D13" s="34"/>
    </row>
    <row r="14" spans="1:12" ht="24" customHeight="1" x14ac:dyDescent="0.3">
      <c r="A14" s="69" t="s">
        <v>175</v>
      </c>
      <c r="B14" s="19" t="s">
        <v>170</v>
      </c>
      <c r="C14" s="34"/>
      <c r="D14" s="34"/>
    </row>
    <row r="15" spans="1:12" ht="24" customHeight="1" x14ac:dyDescent="0.3">
      <c r="A15" s="69" t="s">
        <v>176</v>
      </c>
      <c r="B15" s="19" t="s">
        <v>171</v>
      </c>
      <c r="C15" s="34"/>
      <c r="D15" s="34"/>
    </row>
    <row r="16" spans="1:12" ht="24" customHeight="1" x14ac:dyDescent="0.3">
      <c r="A16" s="69" t="s">
        <v>177</v>
      </c>
      <c r="B16" s="19" t="s">
        <v>172</v>
      </c>
      <c r="C16" s="34"/>
      <c r="D16" s="34"/>
    </row>
    <row r="17" spans="1:4" ht="24" customHeight="1" x14ac:dyDescent="0.3">
      <c r="A17" s="69" t="s">
        <v>173</v>
      </c>
      <c r="B17" s="76" t="s">
        <v>174</v>
      </c>
      <c r="C17" s="75"/>
      <c r="D17" s="34"/>
    </row>
    <row r="18" spans="1:4" x14ac:dyDescent="0.3">
      <c r="B18" s="34"/>
      <c r="C18" s="34"/>
      <c r="D18" s="34"/>
    </row>
    <row r="19" spans="1:4" ht="21.6" customHeight="1" x14ac:dyDescent="0.3">
      <c r="A19" s="65" t="s">
        <v>136</v>
      </c>
      <c r="B19" s="34"/>
      <c r="C19" s="34"/>
      <c r="D19" s="34"/>
    </row>
    <row r="20" spans="1:4" ht="19.8" customHeight="1" x14ac:dyDescent="0.3">
      <c r="A20" s="62" t="s">
        <v>137</v>
      </c>
      <c r="B20" s="62" t="s">
        <v>138</v>
      </c>
      <c r="C20" s="62" t="s">
        <v>149</v>
      </c>
      <c r="D20" s="34"/>
    </row>
    <row r="21" spans="1:4" ht="43.8" customHeight="1" x14ac:dyDescent="0.3">
      <c r="A21" s="71">
        <v>1</v>
      </c>
      <c r="B21" s="67" t="s">
        <v>139</v>
      </c>
      <c r="C21" s="67" t="s">
        <v>150</v>
      </c>
      <c r="D21" s="34"/>
    </row>
    <row r="22" spans="1:4" ht="43.8" customHeight="1" x14ac:dyDescent="0.3">
      <c r="A22" s="71">
        <v>2</v>
      </c>
      <c r="B22" s="67" t="s">
        <v>140</v>
      </c>
      <c r="C22" s="67" t="s">
        <v>151</v>
      </c>
      <c r="D22" s="34"/>
    </row>
    <row r="23" spans="1:4" ht="43.8" customHeight="1" x14ac:dyDescent="0.3">
      <c r="A23" s="71">
        <v>3</v>
      </c>
      <c r="B23" s="67" t="s">
        <v>147</v>
      </c>
      <c r="C23" s="67" t="s">
        <v>152</v>
      </c>
      <c r="D23" s="34"/>
    </row>
    <row r="24" spans="1:4" ht="43.8" customHeight="1" x14ac:dyDescent="0.3">
      <c r="A24" s="71">
        <v>4</v>
      </c>
      <c r="B24" s="67" t="s">
        <v>141</v>
      </c>
      <c r="C24" s="67" t="s">
        <v>153</v>
      </c>
      <c r="D24" s="34"/>
    </row>
    <row r="25" spans="1:4" ht="60" customHeight="1" x14ac:dyDescent="0.3">
      <c r="A25" s="71">
        <v>5</v>
      </c>
      <c r="B25" s="67" t="s">
        <v>148</v>
      </c>
      <c r="C25" s="67" t="s">
        <v>154</v>
      </c>
      <c r="D25" s="34"/>
    </row>
    <row r="26" spans="1:4" ht="12" customHeight="1" x14ac:dyDescent="0.3">
      <c r="A26" s="72"/>
      <c r="B26" s="73"/>
      <c r="C26" s="73"/>
      <c r="D26" s="34"/>
    </row>
    <row r="27" spans="1:4" ht="12" customHeight="1" x14ac:dyDescent="0.3">
      <c r="A27" s="34"/>
      <c r="B27" s="34"/>
      <c r="C27" s="34"/>
      <c r="D27" s="34"/>
    </row>
    <row r="28" spans="1:4" ht="22.2" customHeight="1" x14ac:dyDescent="0.3">
      <c r="A28" s="66" t="s">
        <v>142</v>
      </c>
      <c r="B28" s="34"/>
      <c r="C28" s="34"/>
      <c r="D28" s="34"/>
    </row>
    <row r="29" spans="1:4" ht="30" customHeight="1" x14ac:dyDescent="0.3">
      <c r="A29" s="63" t="s">
        <v>143</v>
      </c>
      <c r="B29" s="63" t="s">
        <v>138</v>
      </c>
      <c r="C29" s="34"/>
      <c r="D29" s="34"/>
    </row>
    <row r="30" spans="1:4" ht="30" customHeight="1" x14ac:dyDescent="0.3">
      <c r="A30" s="63">
        <v>2</v>
      </c>
      <c r="B30" s="68" t="s">
        <v>145</v>
      </c>
      <c r="C30" s="34"/>
      <c r="D30" s="34"/>
    </row>
    <row r="31" spans="1:4" ht="30" customHeight="1" x14ac:dyDescent="0.3">
      <c r="A31" s="64">
        <v>1</v>
      </c>
      <c r="B31" s="68" t="s">
        <v>155</v>
      </c>
      <c r="C31" s="34"/>
      <c r="D31" s="34"/>
    </row>
    <row r="32" spans="1:4" ht="30" customHeight="1" x14ac:dyDescent="0.3">
      <c r="A32" s="63">
        <v>0</v>
      </c>
      <c r="B32" s="68" t="s">
        <v>156</v>
      </c>
      <c r="C32" s="34"/>
      <c r="D32" s="34"/>
    </row>
    <row r="33" spans="1:4" x14ac:dyDescent="0.3">
      <c r="A33" s="35"/>
      <c r="B33" s="34"/>
      <c r="C33" s="34"/>
      <c r="D33" s="34"/>
    </row>
    <row r="34" spans="1:4" ht="18.600000000000001" customHeight="1" x14ac:dyDescent="0.3">
      <c r="A34" s="74"/>
      <c r="B34" s="74"/>
      <c r="C34" s="74"/>
      <c r="D34" s="74"/>
    </row>
    <row r="35" spans="1:4" x14ac:dyDescent="0.3">
      <c r="A35" s="7"/>
    </row>
    <row r="36" spans="1:4" ht="18" x14ac:dyDescent="0.3">
      <c r="B36" s="1"/>
    </row>
    <row r="37" spans="1:4" x14ac:dyDescent="0.3">
      <c r="A37" s="69"/>
      <c r="B37" s="19"/>
      <c r="C37" s="19"/>
    </row>
    <row r="38" spans="1:4" x14ac:dyDescent="0.3">
      <c r="A38" s="69"/>
      <c r="B38" s="19"/>
      <c r="C38" s="19"/>
    </row>
    <row r="39" spans="1:4" x14ac:dyDescent="0.3">
      <c r="A39" s="69"/>
      <c r="B39" s="19"/>
      <c r="C39" s="19"/>
    </row>
    <row r="40" spans="1:4" x14ac:dyDescent="0.3">
      <c r="A40" s="69"/>
      <c r="B40" s="19"/>
      <c r="C40" s="19"/>
    </row>
    <row r="41" spans="1:4" x14ac:dyDescent="0.3">
      <c r="A41" s="69"/>
      <c r="B41" s="19"/>
      <c r="C41" s="19"/>
    </row>
    <row r="42" spans="1:4" x14ac:dyDescent="0.3">
      <c r="A42" s="69"/>
      <c r="B42" s="19"/>
    </row>
  </sheetData>
  <mergeCells count="4">
    <mergeCell ref="A34:D34"/>
    <mergeCell ref="B8:C8"/>
    <mergeCell ref="B9:C9"/>
    <mergeCell ref="B17:C17"/>
  </mergeCells>
  <pageMargins left="0.70866141732283472" right="0.70866141732283472" top="0.74803149606299213" bottom="0.74803149606299213" header="0.31496062992125984" footer="0.31496062992125984"/>
  <pageSetup paperSize="9" scale="62" orientation="portrait"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34"/>
  <sheetViews>
    <sheetView zoomScale="85" zoomScaleNormal="85" workbookViewId="0">
      <selection activeCell="L32" sqref="L32"/>
    </sheetView>
  </sheetViews>
  <sheetFormatPr defaultRowHeight="14.4" x14ac:dyDescent="0.3"/>
  <cols>
    <col min="1" max="1" width="5.77734375" customWidth="1"/>
    <col min="2" max="2" width="14.109375" customWidth="1"/>
    <col min="3" max="3" width="12.44140625" customWidth="1"/>
    <col min="4" max="4" width="10" customWidth="1"/>
    <col min="5" max="5" width="54.6640625" customWidth="1"/>
    <col min="6" max="6" width="11.44140625" customWidth="1"/>
    <col min="7" max="7" width="9.21875" customWidth="1"/>
    <col min="8" max="8" width="15.88671875" customWidth="1"/>
    <col min="9" max="9" width="7.6640625" customWidth="1"/>
    <col min="10" max="10" width="44" customWidth="1"/>
    <col min="11" max="11" width="22.88671875" customWidth="1"/>
    <col min="12" max="12" width="31.44140625" customWidth="1"/>
    <col min="13" max="13" width="9" customWidth="1"/>
  </cols>
  <sheetData>
    <row r="1" spans="1:13" ht="31.8" customHeight="1" x14ac:dyDescent="0.5">
      <c r="A1" s="37" t="s">
        <v>144</v>
      </c>
    </row>
    <row r="2" spans="1:13" x14ac:dyDescent="0.3">
      <c r="A2" s="7"/>
    </row>
    <row r="3" spans="1:13" ht="28.2" thickBot="1" x14ac:dyDescent="0.35">
      <c r="A3" s="38" t="s">
        <v>5</v>
      </c>
      <c r="B3" s="38" t="s">
        <v>45</v>
      </c>
      <c r="C3" s="38" t="s">
        <v>13</v>
      </c>
      <c r="D3" s="38" t="s">
        <v>0</v>
      </c>
      <c r="E3" s="38" t="s">
        <v>1</v>
      </c>
      <c r="F3" s="38" t="s">
        <v>85</v>
      </c>
      <c r="G3" s="38" t="s">
        <v>47</v>
      </c>
      <c r="H3" s="38" t="s">
        <v>48</v>
      </c>
      <c r="I3" s="38" t="s">
        <v>2</v>
      </c>
      <c r="J3" s="38" t="s">
        <v>50</v>
      </c>
      <c r="K3" s="38" t="s">
        <v>44</v>
      </c>
      <c r="L3" s="38" t="s">
        <v>3</v>
      </c>
      <c r="M3" s="38" t="s">
        <v>119</v>
      </c>
    </row>
    <row r="4" spans="1:13" ht="98.4" customHeight="1" thickBot="1" x14ac:dyDescent="0.35">
      <c r="A4" s="77">
        <v>1</v>
      </c>
      <c r="B4" s="78" t="s">
        <v>49</v>
      </c>
      <c r="C4" s="78" t="s">
        <v>87</v>
      </c>
      <c r="D4" s="54" t="s">
        <v>89</v>
      </c>
      <c r="E4" s="39" t="s">
        <v>25</v>
      </c>
      <c r="F4" s="47">
        <v>5</v>
      </c>
      <c r="G4" s="47">
        <v>5</v>
      </c>
      <c r="H4" s="47">
        <v>4</v>
      </c>
      <c r="I4" s="47">
        <v>2</v>
      </c>
      <c r="J4" s="39" t="s">
        <v>65</v>
      </c>
      <c r="K4" s="41" t="s">
        <v>91</v>
      </c>
      <c r="L4" s="41" t="s">
        <v>121</v>
      </c>
      <c r="M4" s="55" t="s">
        <v>120</v>
      </c>
    </row>
    <row r="5" spans="1:13" ht="61.2" customHeight="1" thickBot="1" x14ac:dyDescent="0.35">
      <c r="A5" s="77"/>
      <c r="B5" s="78"/>
      <c r="C5" s="78"/>
      <c r="D5" s="56" t="s">
        <v>4</v>
      </c>
      <c r="E5" s="42" t="s">
        <v>34</v>
      </c>
      <c r="F5" s="43">
        <v>5</v>
      </c>
      <c r="G5" s="43">
        <v>5</v>
      </c>
      <c r="H5" s="43">
        <v>5</v>
      </c>
      <c r="I5" s="43">
        <v>2</v>
      </c>
      <c r="J5" s="42" t="s">
        <v>66</v>
      </c>
      <c r="K5" s="43" t="s">
        <v>92</v>
      </c>
      <c r="L5" s="40" t="s">
        <v>98</v>
      </c>
      <c r="M5" s="43" t="s">
        <v>120</v>
      </c>
    </row>
    <row r="6" spans="1:13" ht="167.4" customHeight="1" thickBot="1" x14ac:dyDescent="0.35">
      <c r="A6" s="77"/>
      <c r="B6" s="78"/>
      <c r="C6" s="78"/>
      <c r="D6" s="57" t="s">
        <v>46</v>
      </c>
      <c r="E6" s="44" t="s">
        <v>146</v>
      </c>
      <c r="F6" s="45">
        <v>4</v>
      </c>
      <c r="G6" s="45">
        <v>4</v>
      </c>
      <c r="H6" s="45">
        <v>4</v>
      </c>
      <c r="I6" s="45">
        <v>1</v>
      </c>
      <c r="J6" s="44" t="s">
        <v>51</v>
      </c>
      <c r="K6" s="44" t="s">
        <v>86</v>
      </c>
      <c r="L6" s="45" t="s">
        <v>124</v>
      </c>
      <c r="M6" s="45" t="s">
        <v>107</v>
      </c>
    </row>
    <row r="7" spans="1:13" ht="124.2" customHeight="1" thickBot="1" x14ac:dyDescent="0.35">
      <c r="A7" s="77">
        <v>2</v>
      </c>
      <c r="B7" s="78" t="s">
        <v>23</v>
      </c>
      <c r="C7" s="78" t="s">
        <v>14</v>
      </c>
      <c r="D7" s="54" t="s">
        <v>89</v>
      </c>
      <c r="E7" s="39" t="s">
        <v>53</v>
      </c>
      <c r="F7" s="47">
        <v>5</v>
      </c>
      <c r="G7" s="47">
        <v>5</v>
      </c>
      <c r="H7" s="47">
        <v>5</v>
      </c>
      <c r="I7" s="47">
        <v>2</v>
      </c>
      <c r="J7" s="46" t="s">
        <v>67</v>
      </c>
      <c r="K7" s="39" t="s">
        <v>93</v>
      </c>
      <c r="L7" s="41" t="s">
        <v>118</v>
      </c>
      <c r="M7" s="55" t="s">
        <v>120</v>
      </c>
    </row>
    <row r="8" spans="1:13" ht="63.6" customHeight="1" thickBot="1" x14ac:dyDescent="0.35">
      <c r="A8" s="77"/>
      <c r="B8" s="78"/>
      <c r="C8" s="78"/>
      <c r="D8" s="56" t="s">
        <v>4</v>
      </c>
      <c r="E8" s="42" t="s">
        <v>35</v>
      </c>
      <c r="F8" s="43">
        <v>5</v>
      </c>
      <c r="G8" s="43">
        <v>5</v>
      </c>
      <c r="H8" s="43">
        <v>5</v>
      </c>
      <c r="I8" s="43">
        <v>2</v>
      </c>
      <c r="J8" s="42" t="s">
        <v>68</v>
      </c>
      <c r="K8" s="43" t="s">
        <v>92</v>
      </c>
      <c r="L8" s="40" t="s">
        <v>99</v>
      </c>
      <c r="M8" s="43" t="s">
        <v>120</v>
      </c>
    </row>
    <row r="9" spans="1:13" ht="180" customHeight="1" thickBot="1" x14ac:dyDescent="0.35">
      <c r="A9" s="77"/>
      <c r="B9" s="78"/>
      <c r="C9" s="78"/>
      <c r="D9" s="57" t="s">
        <v>46</v>
      </c>
      <c r="E9" s="44" t="s">
        <v>52</v>
      </c>
      <c r="F9" s="45">
        <v>5</v>
      </c>
      <c r="G9" s="45">
        <v>5</v>
      </c>
      <c r="H9" s="45">
        <v>5</v>
      </c>
      <c r="I9" s="45">
        <v>2</v>
      </c>
      <c r="J9" s="46" t="s">
        <v>69</v>
      </c>
      <c r="K9" s="45" t="s">
        <v>92</v>
      </c>
      <c r="L9" s="45" t="s">
        <v>124</v>
      </c>
      <c r="M9" s="45" t="s">
        <v>120</v>
      </c>
    </row>
    <row r="10" spans="1:13" ht="96" customHeight="1" thickBot="1" x14ac:dyDescent="0.35">
      <c r="A10" s="77">
        <v>3</v>
      </c>
      <c r="B10" s="78" t="s">
        <v>6</v>
      </c>
      <c r="C10" s="78" t="s">
        <v>15</v>
      </c>
      <c r="D10" s="54" t="s">
        <v>89</v>
      </c>
      <c r="E10" s="39" t="s">
        <v>26</v>
      </c>
      <c r="F10" s="47">
        <v>5</v>
      </c>
      <c r="G10" s="47">
        <v>5</v>
      </c>
      <c r="H10" s="47">
        <v>5</v>
      </c>
      <c r="I10" s="47">
        <v>2</v>
      </c>
      <c r="J10" s="39" t="s">
        <v>62</v>
      </c>
      <c r="K10" s="47" t="s">
        <v>92</v>
      </c>
      <c r="L10" s="41" t="s">
        <v>101</v>
      </c>
      <c r="M10" s="55" t="s">
        <v>120</v>
      </c>
    </row>
    <row r="11" spans="1:13" ht="36.6" thickBot="1" x14ac:dyDescent="0.35">
      <c r="A11" s="77"/>
      <c r="B11" s="78"/>
      <c r="C11" s="78"/>
      <c r="D11" s="56" t="s">
        <v>4</v>
      </c>
      <c r="E11" s="42" t="s">
        <v>36</v>
      </c>
      <c r="F11" s="43">
        <v>5</v>
      </c>
      <c r="G11" s="43">
        <v>5</v>
      </c>
      <c r="H11" s="43">
        <v>5</v>
      </c>
      <c r="I11" s="43">
        <v>2</v>
      </c>
      <c r="J11" s="42" t="s">
        <v>70</v>
      </c>
      <c r="K11" s="43" t="s">
        <v>92</v>
      </c>
      <c r="L11" s="48" t="s">
        <v>124</v>
      </c>
      <c r="M11" s="48" t="s">
        <v>120</v>
      </c>
    </row>
    <row r="12" spans="1:13" ht="223.8" customHeight="1" thickBot="1" x14ac:dyDescent="0.35">
      <c r="A12" s="77"/>
      <c r="B12" s="78"/>
      <c r="C12" s="78"/>
      <c r="D12" s="57" t="s">
        <v>46</v>
      </c>
      <c r="E12" s="44" t="s">
        <v>54</v>
      </c>
      <c r="F12" s="45">
        <v>5</v>
      </c>
      <c r="G12" s="45">
        <v>5</v>
      </c>
      <c r="H12" s="45">
        <v>5</v>
      </c>
      <c r="I12" s="45">
        <v>2</v>
      </c>
      <c r="J12" s="44" t="s">
        <v>71</v>
      </c>
      <c r="K12" s="45" t="s">
        <v>92</v>
      </c>
      <c r="L12" s="49" t="s">
        <v>124</v>
      </c>
      <c r="M12" s="49" t="s">
        <v>120</v>
      </c>
    </row>
    <row r="13" spans="1:13" ht="120" customHeight="1" thickBot="1" x14ac:dyDescent="0.35">
      <c r="A13" s="77">
        <v>4</v>
      </c>
      <c r="B13" s="78" t="s">
        <v>7</v>
      </c>
      <c r="C13" s="78" t="s">
        <v>16</v>
      </c>
      <c r="D13" s="54" t="s">
        <v>89</v>
      </c>
      <c r="E13" s="39" t="s">
        <v>27</v>
      </c>
      <c r="F13" s="58">
        <v>5</v>
      </c>
      <c r="G13" s="58">
        <v>5</v>
      </c>
      <c r="H13" s="58">
        <v>5</v>
      </c>
      <c r="I13" s="43">
        <v>2</v>
      </c>
      <c r="J13" s="50" t="s">
        <v>62</v>
      </c>
      <c r="K13" s="47" t="s">
        <v>92</v>
      </c>
      <c r="L13" s="41" t="s">
        <v>102</v>
      </c>
      <c r="M13" s="55" t="s">
        <v>120</v>
      </c>
    </row>
    <row r="14" spans="1:13" ht="123.6" customHeight="1" thickBot="1" x14ac:dyDescent="0.35">
      <c r="A14" s="77"/>
      <c r="B14" s="78"/>
      <c r="C14" s="78"/>
      <c r="D14" s="56" t="s">
        <v>4</v>
      </c>
      <c r="E14" s="42" t="s">
        <v>37</v>
      </c>
      <c r="F14" s="43">
        <v>5</v>
      </c>
      <c r="G14" s="43">
        <v>5</v>
      </c>
      <c r="H14" s="43">
        <v>5</v>
      </c>
      <c r="I14" s="43">
        <v>2</v>
      </c>
      <c r="J14" s="42" t="s">
        <v>72</v>
      </c>
      <c r="K14" s="43" t="s">
        <v>92</v>
      </c>
      <c r="L14" s="42" t="s">
        <v>103</v>
      </c>
      <c r="M14" s="43" t="s">
        <v>120</v>
      </c>
    </row>
    <row r="15" spans="1:13" ht="96.6" customHeight="1" thickBot="1" x14ac:dyDescent="0.35">
      <c r="A15" s="77"/>
      <c r="B15" s="78"/>
      <c r="C15" s="78"/>
      <c r="D15" s="57" t="s">
        <v>46</v>
      </c>
      <c r="E15" s="42" t="s">
        <v>55</v>
      </c>
      <c r="F15" s="59">
        <v>5</v>
      </c>
      <c r="G15" s="59">
        <v>5</v>
      </c>
      <c r="H15" s="59">
        <v>5</v>
      </c>
      <c r="I15" s="60">
        <v>2</v>
      </c>
      <c r="J15" s="44" t="s">
        <v>73</v>
      </c>
      <c r="K15" s="45" t="s">
        <v>92</v>
      </c>
      <c r="L15" s="51" t="s">
        <v>124</v>
      </c>
      <c r="M15" s="51" t="s">
        <v>120</v>
      </c>
    </row>
    <row r="16" spans="1:13" ht="108.6" customHeight="1" thickBot="1" x14ac:dyDescent="0.35">
      <c r="A16" s="77">
        <v>5</v>
      </c>
      <c r="B16" s="78" t="s">
        <v>8</v>
      </c>
      <c r="C16" s="78" t="s">
        <v>17</v>
      </c>
      <c r="D16" s="54" t="s">
        <v>89</v>
      </c>
      <c r="E16" s="39" t="s">
        <v>28</v>
      </c>
      <c r="F16" s="55">
        <v>5</v>
      </c>
      <c r="G16" s="55">
        <v>5</v>
      </c>
      <c r="H16" s="55">
        <v>5</v>
      </c>
      <c r="I16" s="61">
        <v>2</v>
      </c>
      <c r="J16" s="50" t="s">
        <v>62</v>
      </c>
      <c r="K16" s="47" t="s">
        <v>92</v>
      </c>
      <c r="L16" s="39" t="s">
        <v>104</v>
      </c>
      <c r="M16" s="47" t="s">
        <v>120</v>
      </c>
    </row>
    <row r="17" spans="1:13" ht="74.400000000000006" customHeight="1" thickBot="1" x14ac:dyDescent="0.35">
      <c r="A17" s="77"/>
      <c r="B17" s="78"/>
      <c r="C17" s="78"/>
      <c r="D17" s="56" t="s">
        <v>4</v>
      </c>
      <c r="E17" s="42" t="s">
        <v>38</v>
      </c>
      <c r="F17" s="43">
        <v>5</v>
      </c>
      <c r="G17" s="43">
        <v>5</v>
      </c>
      <c r="H17" s="43">
        <v>5</v>
      </c>
      <c r="I17" s="43">
        <v>2</v>
      </c>
      <c r="J17" s="42" t="s">
        <v>74</v>
      </c>
      <c r="K17" s="43" t="s">
        <v>92</v>
      </c>
      <c r="L17" s="48" t="s">
        <v>124</v>
      </c>
      <c r="M17" s="48" t="s">
        <v>120</v>
      </c>
    </row>
    <row r="18" spans="1:13" ht="169.8" customHeight="1" thickBot="1" x14ac:dyDescent="0.35">
      <c r="A18" s="77"/>
      <c r="B18" s="78"/>
      <c r="C18" s="78"/>
      <c r="D18" s="57" t="s">
        <v>46</v>
      </c>
      <c r="E18" s="52" t="s">
        <v>56</v>
      </c>
      <c r="F18" s="58">
        <v>5</v>
      </c>
      <c r="G18" s="58">
        <v>5</v>
      </c>
      <c r="H18" s="58">
        <v>5</v>
      </c>
      <c r="I18" s="58">
        <v>2</v>
      </c>
      <c r="J18" s="50" t="s">
        <v>75</v>
      </c>
      <c r="K18" s="45" t="s">
        <v>92</v>
      </c>
      <c r="L18" s="51" t="s">
        <v>124</v>
      </c>
      <c r="M18" s="51" t="s">
        <v>120</v>
      </c>
    </row>
    <row r="19" spans="1:13" ht="108.6" customHeight="1" thickBot="1" x14ac:dyDescent="0.35">
      <c r="A19" s="77">
        <v>6</v>
      </c>
      <c r="B19" s="78" t="s">
        <v>9</v>
      </c>
      <c r="C19" s="78" t="s">
        <v>18</v>
      </c>
      <c r="D19" s="54" t="s">
        <v>89</v>
      </c>
      <c r="E19" s="41" t="s">
        <v>29</v>
      </c>
      <c r="F19" s="55">
        <v>5</v>
      </c>
      <c r="G19" s="55">
        <v>5</v>
      </c>
      <c r="H19" s="55">
        <v>5</v>
      </c>
      <c r="I19" s="55">
        <v>2</v>
      </c>
      <c r="J19" s="39" t="s">
        <v>76</v>
      </c>
      <c r="K19" s="39" t="s">
        <v>94</v>
      </c>
      <c r="L19" s="39" t="s">
        <v>122</v>
      </c>
      <c r="M19" s="47" t="s">
        <v>120</v>
      </c>
    </row>
    <row r="20" spans="1:13" ht="64.8" customHeight="1" thickBot="1" x14ac:dyDescent="0.35">
      <c r="A20" s="77"/>
      <c r="B20" s="78"/>
      <c r="C20" s="78"/>
      <c r="D20" s="56" t="s">
        <v>4</v>
      </c>
      <c r="E20" s="42" t="s">
        <v>39</v>
      </c>
      <c r="F20" s="43">
        <v>5</v>
      </c>
      <c r="G20" s="43">
        <v>5</v>
      </c>
      <c r="H20" s="43">
        <v>5</v>
      </c>
      <c r="I20" s="43">
        <v>2</v>
      </c>
      <c r="J20" s="42" t="s">
        <v>77</v>
      </c>
      <c r="K20" s="42" t="s">
        <v>94</v>
      </c>
      <c r="L20" s="48" t="s">
        <v>124</v>
      </c>
      <c r="M20" s="48" t="s">
        <v>120</v>
      </c>
    </row>
    <row r="21" spans="1:13" ht="159" customHeight="1" thickBot="1" x14ac:dyDescent="0.35">
      <c r="A21" s="77"/>
      <c r="B21" s="78"/>
      <c r="C21" s="78"/>
      <c r="D21" s="57" t="s">
        <v>46</v>
      </c>
      <c r="E21" s="50" t="s">
        <v>57</v>
      </c>
      <c r="F21" s="58">
        <v>5</v>
      </c>
      <c r="G21" s="58">
        <v>5</v>
      </c>
      <c r="H21" s="58">
        <v>5</v>
      </c>
      <c r="I21" s="58">
        <v>2</v>
      </c>
      <c r="J21" s="50" t="s">
        <v>78</v>
      </c>
      <c r="K21" s="45" t="s">
        <v>92</v>
      </c>
      <c r="L21" s="51" t="s">
        <v>124</v>
      </c>
      <c r="M21" s="51" t="s">
        <v>120</v>
      </c>
    </row>
    <row r="22" spans="1:13" ht="72" customHeight="1" thickBot="1" x14ac:dyDescent="0.35">
      <c r="A22" s="77">
        <v>7</v>
      </c>
      <c r="B22" s="78" t="s">
        <v>10</v>
      </c>
      <c r="C22" s="78" t="s">
        <v>19</v>
      </c>
      <c r="D22" s="54" t="s">
        <v>89</v>
      </c>
      <c r="E22" s="39" t="s">
        <v>30</v>
      </c>
      <c r="F22" s="47">
        <v>5</v>
      </c>
      <c r="G22" s="47">
        <v>5</v>
      </c>
      <c r="H22" s="47">
        <v>4</v>
      </c>
      <c r="I22" s="55">
        <v>2</v>
      </c>
      <c r="J22" s="39" t="s">
        <v>83</v>
      </c>
      <c r="K22" s="39" t="s">
        <v>95</v>
      </c>
      <c r="L22" s="39" t="s">
        <v>105</v>
      </c>
      <c r="M22" s="47" t="s">
        <v>120</v>
      </c>
    </row>
    <row r="23" spans="1:13" ht="73.8" customHeight="1" thickBot="1" x14ac:dyDescent="0.35">
      <c r="A23" s="77"/>
      <c r="B23" s="78"/>
      <c r="C23" s="78"/>
      <c r="D23" s="56" t="s">
        <v>4</v>
      </c>
      <c r="E23" s="42" t="s">
        <v>40</v>
      </c>
      <c r="F23" s="43">
        <v>5</v>
      </c>
      <c r="G23" s="43">
        <v>5</v>
      </c>
      <c r="H23" s="43">
        <v>5</v>
      </c>
      <c r="I23" s="43">
        <v>2</v>
      </c>
      <c r="J23" s="42" t="s">
        <v>79</v>
      </c>
      <c r="K23" s="43" t="s">
        <v>92</v>
      </c>
      <c r="L23" s="43" t="s">
        <v>124</v>
      </c>
      <c r="M23" s="43" t="s">
        <v>120</v>
      </c>
    </row>
    <row r="24" spans="1:13" ht="133.80000000000001" customHeight="1" thickBot="1" x14ac:dyDescent="0.35">
      <c r="A24" s="77"/>
      <c r="B24" s="78"/>
      <c r="C24" s="78"/>
      <c r="D24" s="57" t="s">
        <v>46</v>
      </c>
      <c r="E24" s="42" t="s">
        <v>58</v>
      </c>
      <c r="F24" s="58">
        <v>5</v>
      </c>
      <c r="G24" s="58">
        <v>5</v>
      </c>
      <c r="H24" s="58">
        <v>5</v>
      </c>
      <c r="I24" s="58">
        <v>2</v>
      </c>
      <c r="J24" s="50" t="s">
        <v>75</v>
      </c>
      <c r="K24" s="45" t="s">
        <v>92</v>
      </c>
      <c r="L24" s="51" t="s">
        <v>124</v>
      </c>
      <c r="M24" s="51" t="s">
        <v>120</v>
      </c>
    </row>
    <row r="25" spans="1:13" ht="86.4" customHeight="1" thickBot="1" x14ac:dyDescent="0.35">
      <c r="A25" s="77">
        <v>8</v>
      </c>
      <c r="B25" s="78" t="s">
        <v>11</v>
      </c>
      <c r="C25" s="78" t="s">
        <v>20</v>
      </c>
      <c r="D25" s="54" t="s">
        <v>89</v>
      </c>
      <c r="E25" s="41" t="s">
        <v>31</v>
      </c>
      <c r="F25" s="55">
        <v>5</v>
      </c>
      <c r="G25" s="55">
        <v>5</v>
      </c>
      <c r="H25" s="55">
        <v>4</v>
      </c>
      <c r="I25" s="55">
        <v>2</v>
      </c>
      <c r="J25" s="39" t="s">
        <v>114</v>
      </c>
      <c r="K25" s="39" t="s">
        <v>115</v>
      </c>
      <c r="L25" s="39" t="s">
        <v>106</v>
      </c>
      <c r="M25" s="47" t="s">
        <v>120</v>
      </c>
    </row>
    <row r="26" spans="1:13" ht="49.2" customHeight="1" thickBot="1" x14ac:dyDescent="0.35">
      <c r="A26" s="77"/>
      <c r="B26" s="78"/>
      <c r="C26" s="78"/>
      <c r="D26" s="56" t="s">
        <v>4</v>
      </c>
      <c r="E26" s="50" t="s">
        <v>41</v>
      </c>
      <c r="F26" s="58">
        <v>5</v>
      </c>
      <c r="G26" s="58">
        <v>5</v>
      </c>
      <c r="H26" s="58">
        <v>5</v>
      </c>
      <c r="I26" s="43">
        <v>2</v>
      </c>
      <c r="J26" s="42" t="s">
        <v>80</v>
      </c>
      <c r="K26" s="43" t="s">
        <v>92</v>
      </c>
      <c r="L26" s="48" t="s">
        <v>124</v>
      </c>
      <c r="M26" s="48" t="s">
        <v>120</v>
      </c>
    </row>
    <row r="27" spans="1:13" ht="122.4" customHeight="1" thickBot="1" x14ac:dyDescent="0.35">
      <c r="A27" s="77"/>
      <c r="B27" s="78"/>
      <c r="C27" s="78"/>
      <c r="D27" s="57" t="s">
        <v>46</v>
      </c>
      <c r="E27" s="53" t="s">
        <v>59</v>
      </c>
      <c r="F27" s="60">
        <v>5</v>
      </c>
      <c r="G27" s="60">
        <v>5</v>
      </c>
      <c r="H27" s="60">
        <v>5</v>
      </c>
      <c r="I27" s="58">
        <v>2</v>
      </c>
      <c r="J27" s="50" t="s">
        <v>81</v>
      </c>
      <c r="K27" s="45" t="s">
        <v>96</v>
      </c>
      <c r="L27" s="51" t="s">
        <v>124</v>
      </c>
      <c r="M27" s="51" t="s">
        <v>120</v>
      </c>
    </row>
    <row r="28" spans="1:13" ht="73.8" customHeight="1" thickBot="1" x14ac:dyDescent="0.35">
      <c r="A28" s="77">
        <v>9</v>
      </c>
      <c r="B28" s="78" t="s">
        <v>24</v>
      </c>
      <c r="C28" s="78" t="s">
        <v>21</v>
      </c>
      <c r="D28" s="54" t="s">
        <v>89</v>
      </c>
      <c r="E28" s="39" t="s">
        <v>32</v>
      </c>
      <c r="F28" s="47">
        <v>4</v>
      </c>
      <c r="G28" s="47">
        <v>3</v>
      </c>
      <c r="H28" s="47">
        <v>3</v>
      </c>
      <c r="I28" s="55">
        <v>1</v>
      </c>
      <c r="J28" s="39" t="s">
        <v>116</v>
      </c>
      <c r="K28" s="39" t="s">
        <v>117</v>
      </c>
      <c r="L28" s="39" t="s">
        <v>97</v>
      </c>
      <c r="M28" s="47" t="s">
        <v>123</v>
      </c>
    </row>
    <row r="29" spans="1:13" ht="75" customHeight="1" thickBot="1" x14ac:dyDescent="0.35">
      <c r="A29" s="77"/>
      <c r="B29" s="78"/>
      <c r="C29" s="78"/>
      <c r="D29" s="56" t="s">
        <v>4</v>
      </c>
      <c r="E29" s="42" t="s">
        <v>42</v>
      </c>
      <c r="F29" s="43">
        <v>5</v>
      </c>
      <c r="G29" s="43">
        <v>5</v>
      </c>
      <c r="H29" s="43">
        <v>5</v>
      </c>
      <c r="I29" s="43">
        <v>2</v>
      </c>
      <c r="J29" s="42" t="s">
        <v>63</v>
      </c>
      <c r="K29" s="43" t="s">
        <v>92</v>
      </c>
      <c r="L29" s="48" t="s">
        <v>124</v>
      </c>
      <c r="M29" s="48" t="s">
        <v>120</v>
      </c>
    </row>
    <row r="30" spans="1:13" ht="161.4" customHeight="1" thickBot="1" x14ac:dyDescent="0.35">
      <c r="A30" s="77"/>
      <c r="B30" s="78"/>
      <c r="C30" s="78"/>
      <c r="D30" s="57" t="s">
        <v>46</v>
      </c>
      <c r="E30" s="42" t="s">
        <v>60</v>
      </c>
      <c r="F30" s="58">
        <v>5</v>
      </c>
      <c r="G30" s="58">
        <v>5</v>
      </c>
      <c r="H30" s="58">
        <v>5</v>
      </c>
      <c r="I30" s="58">
        <v>2</v>
      </c>
      <c r="J30" s="50" t="s">
        <v>82</v>
      </c>
      <c r="K30" s="45" t="s">
        <v>92</v>
      </c>
      <c r="L30" s="51" t="s">
        <v>124</v>
      </c>
      <c r="M30" s="51" t="s">
        <v>120</v>
      </c>
    </row>
    <row r="31" spans="1:13" ht="121.8" customHeight="1" thickBot="1" x14ac:dyDescent="0.35">
      <c r="A31" s="77">
        <v>10</v>
      </c>
      <c r="B31" s="78" t="s">
        <v>12</v>
      </c>
      <c r="C31" s="78" t="s">
        <v>22</v>
      </c>
      <c r="D31" s="54" t="s">
        <v>89</v>
      </c>
      <c r="E31" s="41" t="s">
        <v>33</v>
      </c>
      <c r="F31" s="55">
        <v>5</v>
      </c>
      <c r="G31" s="55">
        <v>5</v>
      </c>
      <c r="H31" s="55">
        <v>5</v>
      </c>
      <c r="I31" s="55">
        <v>2</v>
      </c>
      <c r="J31" s="47" t="s">
        <v>83</v>
      </c>
      <c r="K31" s="47" t="s">
        <v>92</v>
      </c>
      <c r="L31" s="39" t="s">
        <v>100</v>
      </c>
      <c r="M31" s="47" t="s">
        <v>120</v>
      </c>
    </row>
    <row r="32" spans="1:13" ht="132" customHeight="1" thickBot="1" x14ac:dyDescent="0.35">
      <c r="A32" s="77"/>
      <c r="B32" s="78"/>
      <c r="C32" s="78"/>
      <c r="D32" s="56" t="s">
        <v>4</v>
      </c>
      <c r="E32" s="50" t="s">
        <v>43</v>
      </c>
      <c r="F32" s="58">
        <v>5</v>
      </c>
      <c r="G32" s="58">
        <v>5</v>
      </c>
      <c r="H32" s="58">
        <v>5</v>
      </c>
      <c r="I32" s="59">
        <v>2</v>
      </c>
      <c r="J32" s="52" t="s">
        <v>84</v>
      </c>
      <c r="K32" s="43" t="s">
        <v>92</v>
      </c>
      <c r="L32" s="42" t="s">
        <v>88</v>
      </c>
      <c r="M32" s="43" t="s">
        <v>120</v>
      </c>
    </row>
    <row r="33" spans="1:13" ht="193.8" customHeight="1" thickBot="1" x14ac:dyDescent="0.35">
      <c r="A33" s="77"/>
      <c r="B33" s="78"/>
      <c r="C33" s="78"/>
      <c r="D33" s="57" t="s">
        <v>46</v>
      </c>
      <c r="E33" s="53" t="s">
        <v>61</v>
      </c>
      <c r="F33" s="60">
        <v>5</v>
      </c>
      <c r="G33" s="60">
        <v>5</v>
      </c>
      <c r="H33" s="60">
        <v>5</v>
      </c>
      <c r="I33" s="60">
        <v>2</v>
      </c>
      <c r="J33" s="53" t="s">
        <v>64</v>
      </c>
      <c r="K33" s="45" t="s">
        <v>92</v>
      </c>
      <c r="L33" s="51" t="s">
        <v>124</v>
      </c>
      <c r="M33" s="51" t="s">
        <v>120</v>
      </c>
    </row>
    <row r="34" spans="1:13" ht="18" x14ac:dyDescent="0.3">
      <c r="B34" s="1"/>
    </row>
  </sheetData>
  <mergeCells count="30">
    <mergeCell ref="B22:B24"/>
    <mergeCell ref="C22:C24"/>
    <mergeCell ref="B31:B33"/>
    <mergeCell ref="C31:C33"/>
    <mergeCell ref="C16:C18"/>
    <mergeCell ref="A22:A24"/>
    <mergeCell ref="A31:A33"/>
    <mergeCell ref="A4:A6"/>
    <mergeCell ref="B4:B6"/>
    <mergeCell ref="C4:C6"/>
    <mergeCell ref="A7:A9"/>
    <mergeCell ref="B7:B9"/>
    <mergeCell ref="C7:C9"/>
    <mergeCell ref="A25:A27"/>
    <mergeCell ref="B25:B27"/>
    <mergeCell ref="C25:C27"/>
    <mergeCell ref="A28:A30"/>
    <mergeCell ref="B28:B30"/>
    <mergeCell ref="C28:C30"/>
    <mergeCell ref="A16:A18"/>
    <mergeCell ref="B16:B18"/>
    <mergeCell ref="A19:A21"/>
    <mergeCell ref="B19:B21"/>
    <mergeCell ref="C19:C21"/>
    <mergeCell ref="A10:A12"/>
    <mergeCell ref="B10:B12"/>
    <mergeCell ref="C10:C12"/>
    <mergeCell ref="A13:A15"/>
    <mergeCell ref="B13:B15"/>
    <mergeCell ref="C13:C15"/>
  </mergeCells>
  <phoneticPr fontId="3" type="noConversion"/>
  <printOptions gridLines="1"/>
  <pageMargins left="0.23622047244094491" right="0.23622047244094491" top="0.74803149606299213" bottom="0.74803149606299213" header="0.31496062992125984" footer="0.31496062992125984"/>
  <pageSetup paperSize="9" scale="57" orientation="landscape" r:id="rId1"/>
  <rowBreaks count="4" manualBreakCount="4">
    <brk id="9" max="16383" man="1"/>
    <brk id="15" max="16383" man="1"/>
    <brk id="21" max="12" man="1"/>
    <brk id="27" max="12"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zoomScaleNormal="100"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17" t="s">
        <v>126</v>
      </c>
    </row>
    <row r="3" spans="1:6" ht="24" customHeight="1" thickBot="1" x14ac:dyDescent="0.35">
      <c r="A3" s="20" t="s">
        <v>0</v>
      </c>
      <c r="B3" s="21" t="s">
        <v>112</v>
      </c>
      <c r="C3" s="21" t="s">
        <v>111</v>
      </c>
      <c r="D3" s="21" t="s">
        <v>110</v>
      </c>
      <c r="E3" s="21" t="s">
        <v>113</v>
      </c>
      <c r="F3" s="22" t="s">
        <v>109</v>
      </c>
    </row>
    <row r="4" spans="1:6" ht="22.2" customHeight="1" x14ac:dyDescent="0.3">
      <c r="A4" s="23" t="s">
        <v>89</v>
      </c>
      <c r="B4" s="16">
        <f>AVERAGE('AI response evaluation '!F4,'AI response evaluation '!F7,'AI response evaluation '!F10,'AI response evaluation '!F13,'AI response evaluation '!F17,'AI response evaluation '!F19,'AI response evaluation '!F22,'AI response evaluation '!F25,'AI response evaluation '!F28,'AI response evaluation '!F31)</f>
        <v>4.9000000000000004</v>
      </c>
      <c r="C4" s="16">
        <f>AVERAGE('AI response evaluation '!G4,'AI response evaluation '!G7,'AI response evaluation '!G10,'AI response evaluation '!G13,'AI response evaluation '!G17,'AI response evaluation '!G19,'AI response evaluation '!G22,'AI response evaluation '!G25,'AI response evaluation '!G28,'AI response evaluation '!G31)</f>
        <v>4.8</v>
      </c>
      <c r="D4" s="16">
        <f>AVERAGE('AI response evaluation '!H4,'AI response evaluation '!H7,'AI response evaluation '!H10,'AI response evaluation '!H13,'AI response evaluation '!H17,'AI response evaluation '!H19,'AI response evaluation '!H22,'AI response evaluation '!H25,'AI response evaluation '!H28,'AI response evaluation '!H31)</f>
        <v>4.5</v>
      </c>
      <c r="E4" s="16">
        <f>AVERAGE('AI response evaluation '!I4,'AI response evaluation '!I7,'AI response evaluation '!I10,'AI response evaluation '!I13,'AI response evaluation '!I17,'AI response evaluation '!I19,'AI response evaluation '!I22,'AI response evaluation '!I25,'AI response evaluation '!I28,'AI response evaluation '!I31)</f>
        <v>1.9</v>
      </c>
      <c r="F4" s="9" t="s">
        <v>108</v>
      </c>
    </row>
    <row r="5" spans="1:6" ht="22.2" customHeight="1" x14ac:dyDescent="0.3">
      <c r="A5" s="24" t="s">
        <v>4</v>
      </c>
      <c r="B5" s="11">
        <f>AVERAGE('AI response evaluation '!F5,'AI response evaluation '!F8,'AI response evaluation '!F11,'AI response evaluation '!F14,'AI response evaluation '!F18,'AI response evaluation '!F20,'AI response evaluation '!F23,'AI response evaluation '!F26,'AI response evaluation '!F29,'AI response evaluation '!F32)</f>
        <v>5</v>
      </c>
      <c r="C5" s="11">
        <f>AVERAGE('AI response evaluation '!G5,'AI response evaluation '!G8,'AI response evaluation '!G11,'AI response evaluation '!G14,'AI response evaluation '!G18,'AI response evaluation '!G20,'AI response evaluation '!G23,'AI response evaluation '!G26,'AI response evaluation '!G29,'AI response evaluation '!G32)</f>
        <v>5</v>
      </c>
      <c r="D5" s="11">
        <f>AVERAGE('AI response evaluation '!H5,'AI response evaluation '!H8,'AI response evaluation '!H11,'AI response evaluation '!H14,'AI response evaluation '!H18,'AI response evaluation '!H20,'AI response evaluation '!H23,'AI response evaluation '!H26,'AI response evaluation '!H29,'AI response evaluation '!H32)</f>
        <v>5</v>
      </c>
      <c r="E5" s="11">
        <f>AVERAGE('AI response evaluation '!I5,'AI response evaluation '!I8,'AI response evaluation '!I11,'AI response evaluation '!I14,'AI response evaluation '!I18,'AI response evaluation '!I20,'AI response evaluation '!I23,'AI response evaluation '!I26,'AI response evaluation '!I29,'AI response evaluation '!I32)</f>
        <v>2</v>
      </c>
      <c r="F5" s="12" t="s">
        <v>120</v>
      </c>
    </row>
    <row r="6" spans="1:6" ht="22.2" customHeight="1" thickBot="1" x14ac:dyDescent="0.35">
      <c r="A6" s="25" t="s">
        <v>46</v>
      </c>
      <c r="B6" s="14">
        <f>AVERAGE('AI response evaluation '!F6,'AI response evaluation '!F9,'AI response evaluation '!F12,'AI response evaluation '!F15,'AI response evaluation '!F19,'AI response evaluation '!F21,'AI response evaluation '!F24,'AI response evaluation '!F27,'AI response evaluation '!F30,'AI response evaluation '!F33)</f>
        <v>4.9000000000000004</v>
      </c>
      <c r="C6" s="14">
        <f>AVERAGE('AI response evaluation '!G6,'AI response evaluation '!G9,'AI response evaluation '!G12,'AI response evaluation '!G15,'AI response evaluation '!G19,'AI response evaluation '!G21,'AI response evaluation '!G24,'AI response evaluation '!G27,'AI response evaluation '!G30,'AI response evaluation '!G33)</f>
        <v>4.9000000000000004</v>
      </c>
      <c r="D6" s="14">
        <f>AVERAGE('AI response evaluation '!H6,'AI response evaluation '!H9,'AI response evaluation '!H12,'AI response evaluation '!H15,'AI response evaluation '!H19,'AI response evaluation '!H21,'AI response evaluation '!H24,'AI response evaluation '!H27,'AI response evaluation '!H30,'AI response evaluation '!H33)</f>
        <v>4.9000000000000004</v>
      </c>
      <c r="E6" s="14">
        <f>AVERAGE('AI response evaluation '!I6,'AI response evaluation '!I9,'AI response evaluation '!I12,'AI response evaluation '!I15,'AI response evaluation '!I19,'AI response evaluation '!I21,'AI response evaluation '!I24,'AI response evaluation '!I27,'AI response evaluation '!I30,'AI response evaluation '!I33)</f>
        <v>1.9</v>
      </c>
      <c r="F6" s="15" t="s">
        <v>107</v>
      </c>
    </row>
    <row r="8" spans="1:6" ht="21.6" customHeight="1" thickBot="1" x14ac:dyDescent="0.35">
      <c r="A8" s="79" t="s">
        <v>127</v>
      </c>
      <c r="B8" s="79"/>
      <c r="C8" s="79"/>
      <c r="D8" s="79"/>
      <c r="E8" s="18"/>
    </row>
    <row r="9" spans="1:6" ht="29.4" thickBot="1" x14ac:dyDescent="0.35">
      <c r="A9" s="28" t="s">
        <v>125</v>
      </c>
      <c r="B9" s="29" t="s">
        <v>120</v>
      </c>
      <c r="C9" s="29" t="s">
        <v>108</v>
      </c>
      <c r="D9" s="30" t="s">
        <v>107</v>
      </c>
      <c r="E9" s="19"/>
    </row>
    <row r="10" spans="1:6" ht="22.2" customHeight="1" x14ac:dyDescent="0.3">
      <c r="A10" s="8" t="s">
        <v>89</v>
      </c>
      <c r="B10" s="4">
        <f>COUNTIFS('AI response evaluation '!D4:D33, "ChatGPT-5", 'AI response evaluation '!M4:M33, "No error")</f>
        <v>9</v>
      </c>
      <c r="C10" s="4">
        <f>COUNTIFS('AI response evaluation '!D4:D33, "ChatGPT-5", 'AI response evaluation '!M4:M33, "Oversimplification")</f>
        <v>1</v>
      </c>
      <c r="D10" s="31">
        <f>COUNTIFS('AI response evaluation '!D4:D33, "ChatGPT-5", 'AI response evaluation '!M4:M33, "Misleading phrasing")</f>
        <v>0</v>
      </c>
      <c r="E10" s="19"/>
    </row>
    <row r="11" spans="1:6" ht="22.2" customHeight="1" x14ac:dyDescent="0.3">
      <c r="A11" s="10" t="s">
        <v>4</v>
      </c>
      <c r="B11" s="2">
        <f>COUNTIFS('AI response evaluation '!D4:D33, "Claude", 'AI response evaluation '!M4:M33, "No error")</f>
        <v>10</v>
      </c>
      <c r="C11" s="2">
        <f>COUNTIFS('AI response evaluation '!D4:D33, "Claude", 'AI response evaluation '!M4:M33, "Oversimplification")</f>
        <v>0</v>
      </c>
      <c r="D11" s="26">
        <f>COUNTIFS('AI response evaluation '!D4:D33, "Claude", 'AI response evaluation '!M4:M33, "Misleading phrasing")</f>
        <v>0</v>
      </c>
      <c r="E11" s="19"/>
    </row>
    <row r="12" spans="1:6" ht="22.2" customHeight="1" thickBot="1" x14ac:dyDescent="0.35">
      <c r="A12" s="13" t="s">
        <v>46</v>
      </c>
      <c r="B12" s="3">
        <f>COUNTIFS('AI response evaluation '!D4:D33, "Copilot", 'AI response evaluation '!M4:M33, "No error")</f>
        <v>9</v>
      </c>
      <c r="C12" s="3">
        <f>COUNTIFS('AI response evaluation '!D4:D33, "Copilot", 'AI response evaluation '!M4:M33, "Oversimplification")</f>
        <v>0</v>
      </c>
      <c r="D12" s="27">
        <f>COUNTIFS('AI response evaluation '!D4:D33, "Copilot", 'AI response evaluation '!M4:M33, "Misleading phrasing")</f>
        <v>1</v>
      </c>
    </row>
  </sheetData>
  <mergeCells count="1">
    <mergeCell ref="A8:D8"/>
  </mergeCells>
  <pageMargins left="0.7" right="0.7" top="0.75" bottom="0.75" header="0.3" footer="0.3"/>
  <pageSetup paperSize="9" scale="9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zoomScaleNormal="100" workbookViewId="0">
      <selection activeCell="O20" sqref="O20"/>
    </sheetView>
  </sheetViews>
  <sheetFormatPr defaultRowHeight="14.4" x14ac:dyDescent="0.3"/>
  <sheetData>
    <row r="16" spans="1:1" x14ac:dyDescent="0.3">
      <c r="A16" s="5" t="s">
        <v>128</v>
      </c>
    </row>
    <row r="17" spans="1:1" x14ac:dyDescent="0.3">
      <c r="A17" s="32"/>
    </row>
    <row r="18" spans="1:1" x14ac:dyDescent="0.3">
      <c r="A18" s="32" t="s">
        <v>134</v>
      </c>
    </row>
    <row r="19" spans="1:1" x14ac:dyDescent="0.3">
      <c r="A19" s="32"/>
    </row>
    <row r="20" spans="1:1" x14ac:dyDescent="0.3">
      <c r="A20" s="32" t="s">
        <v>132</v>
      </c>
    </row>
    <row r="21" spans="1:1" x14ac:dyDescent="0.3">
      <c r="A21" s="32"/>
    </row>
    <row r="22" spans="1:1" x14ac:dyDescent="0.3">
      <c r="A22" s="32" t="s">
        <v>133</v>
      </c>
    </row>
    <row r="24" spans="1:1" x14ac:dyDescent="0.3">
      <c r="A24" s="5" t="s">
        <v>129</v>
      </c>
    </row>
    <row r="26" spans="1:1" x14ac:dyDescent="0.3">
      <c r="A26" t="s">
        <v>135</v>
      </c>
    </row>
    <row r="28" spans="1:1" x14ac:dyDescent="0.3">
      <c r="A28" t="s">
        <v>130</v>
      </c>
    </row>
    <row r="30" spans="1:1" x14ac:dyDescent="0.3">
      <c r="A30" t="s">
        <v>131</v>
      </c>
    </row>
    <row r="36" spans="1:1" x14ac:dyDescent="0.3">
      <c r="A36" s="5"/>
    </row>
  </sheetData>
  <pageMargins left="0.70866141732283472" right="0.70866141732283472" top="0.74803149606299213" bottom="0.74803149606299213" header="0.31496062992125984" footer="0.31496062992125984"/>
  <pageSetup paperSize="9"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Project Overview &amp; Scoring Rubr</vt:lpstr>
      <vt:lpstr>AI response evaluation </vt:lpstr>
      <vt:lpstr>AI model performance summary</vt:lpstr>
      <vt:lpstr>Charts &amp; Observations</vt:lpstr>
      <vt:lpstr>'AI response evaluation '!Print_Area</vt:lpstr>
      <vt:lpstr>'Project Overview &amp; Scoring Rubr'!Print_Area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cp:lastPrinted>2025-12-09T09:15:06Z</cp:lastPrinted>
  <dcterms:created xsi:type="dcterms:W3CDTF">2025-11-24T19:53:51Z</dcterms:created>
  <dcterms:modified xsi:type="dcterms:W3CDTF">2025-12-09T09:30:34Z</dcterms:modified>
</cp:coreProperties>
</file>