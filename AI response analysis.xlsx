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MEENU\Git\GitHubRepository\Cell-Biology-Misconceptions-Evaluation\"/>
    </mc:Choice>
  </mc:AlternateContent>
  <xr:revisionPtr revIDLastSave="0" documentId="13_ncr:1_{9023C760-8999-40F0-B8AB-99DF6913EBA2}" xr6:coauthVersionLast="47" xr6:coauthVersionMax="47" xr10:uidLastSave="{00000000-0000-0000-0000-000000000000}"/>
  <bookViews>
    <workbookView xWindow="-108" yWindow="-108" windowWidth="23256" windowHeight="12456" xr2:uid="{CC19697D-DDCA-44B7-A586-36CE1978274E}"/>
  </bookViews>
  <sheets>
    <sheet name="AI response evaluation " sheetId="1" r:id="rId1"/>
    <sheet name="AI model performance summary" sheetId="2" r:id="rId2"/>
    <sheet name="Charts &amp; Observa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2" l="1"/>
  <c r="C12" i="2"/>
  <c r="B12" i="2"/>
  <c r="D11" i="2"/>
  <c r="C11" i="2"/>
  <c r="B11" i="2"/>
  <c r="D10" i="2"/>
  <c r="C10" i="2"/>
  <c r="B10" i="2"/>
  <c r="E6" i="2"/>
  <c r="D6" i="2"/>
  <c r="C6" i="2"/>
  <c r="B6" i="2"/>
  <c r="E5" i="2"/>
  <c r="D5" i="2"/>
  <c r="C5" i="2"/>
  <c r="B5" i="2"/>
  <c r="E4" i="2"/>
  <c r="D4" i="2"/>
  <c r="C4" i="2"/>
  <c r="B4" i="2"/>
</calcChain>
</file>

<file path=xl/sharedStrings.xml><?xml version="1.0" encoding="utf-8"?>
<sst xmlns="http://schemas.openxmlformats.org/spreadsheetml/2006/main" count="265" uniqueCount="158">
  <si>
    <t>AI Model</t>
  </si>
  <si>
    <t>AI Response</t>
  </si>
  <si>
    <t>Score (0–2)</t>
  </si>
  <si>
    <t>Source Used</t>
  </si>
  <si>
    <t>Claude</t>
  </si>
  <si>
    <t>S. No.</t>
  </si>
  <si>
    <t>Mitochondria exist only in animals, not plants.</t>
  </si>
  <si>
    <t>Respiration is the same as breathing.</t>
  </si>
  <si>
    <t>Cells stop functioning when they are not dividing.</t>
  </si>
  <si>
    <t>Only animals have enzymes; plants don’t.</t>
  </si>
  <si>
    <t>All cells have a nucleus.</t>
  </si>
  <si>
    <t>Dead cells can perform mitosis.</t>
  </si>
  <si>
    <t>ATP is only made during exercise.</t>
  </si>
  <si>
    <t>Prompt</t>
  </si>
  <si>
    <t>Do plants respire?</t>
  </si>
  <si>
    <t>Do plant cells have mitochondria?</t>
  </si>
  <si>
    <t>Is cellular respiration the same as breathing? Explain.</t>
  </si>
  <si>
    <t>Do cells stop carrying out functions when they are not dividing?</t>
  </si>
  <si>
    <t>Do plants produce enzymes? Why or why not?</t>
  </si>
  <si>
    <t>Does every cell in the body have a nucleus?</t>
  </si>
  <si>
    <t>Can dead cells undergo mitosis?</t>
  </si>
  <si>
    <t>Is the cell membrane a rigid structure?</t>
  </si>
  <si>
    <t>Is ATP only produced when a person exercises?</t>
  </si>
  <si>
    <t>Plants do not respire; only animals respire.</t>
  </si>
  <si>
    <t>Cell membranes are rigid walls like bricks that do not move.</t>
  </si>
  <si>
    <t>No. A cell is massively larger. DNA is a long molecule inside the cell nucleus (or nucleoid), but the cell itself is much bigger.</t>
  </si>
  <si>
    <t>Yes. Mitochondria are present in plant cells because they need them for respiration, just like animal cells.</t>
  </si>
  <si>
    <t>No. Breathing is a physical process of moving air in and out of lungs. Cellular respiration is a chemical process inside cells that releases energy from glucose.</t>
  </si>
  <si>
    <t>No. Most of a cell’s life is spent not dividing. During that time it is actively doing its normal functions (making proteins, transporting materials, etc.).</t>
  </si>
  <si>
    <t>Yes. Plants produce enzymes because all living organisms need enzymes to speed up chemical reactions necessary for survival—photosynthesis, respiration, growth, and more.</t>
  </si>
  <si>
    <t>No. Some cells don’t. Example: human red blood cells have no nucleus.</t>
  </si>
  <si>
    <t>No. Mitosis requires active, living cells with functioning DNA and organelles.</t>
  </si>
  <si>
    <t>No. It’s flexible—made of a fluid phospholipid bilayer with proteins.</t>
  </si>
  <si>
    <t>No. Cells produce ATP all the time. Without constant ATP production, you’d die in seconds. Exercise just increases the demand and production rate.</t>
  </si>
  <si>
    <t>No. DNA is inside cells. A single DNA molecule can be quite long when stretched out (human DNA is about 2 meters total if you unwound it all), but it's tightly coiled and packaged inside the cell's nucleus. The cell itself is much larger as a complete structure.</t>
  </si>
  <si>
    <t>Yes! Plants respire 24/7, just like animals. They break down glucose to produce ATP for energy. This happens in their mitochondria. Photosynthesis (making glucose) happens during the day, but respiration happens constantly to power the plant's activities.</t>
  </si>
  <si>
    <t>Yes. Plant cells have both chloroplasts (for photosynthesis) AND mitochondria (for cellular respiration). They need mitochondria to break down the glucose they make and convert it into usable ATP energy.</t>
  </si>
  <si>
    <t>No, but they're related.
Breathing (ventilation) is the physical process of moving air in and out of your lungs
Cellular respiration is the chemical process happening inside your cells where glucose and oxygen are converted into ATP, carbon dioxide, and water
Breathing gets oxygen to your cells so they can do cellular respiration, and removes the carbon dioxide waste product.</t>
  </si>
  <si>
    <t>No. Cells are constantly active! Most of a cell's life is spent in "interphase" (not dividing), and during this time they're incredibly busy: making proteins, producing energy, transporting materials, responding to signals, repairing damage, and performing their specialized jobs. Division is actually a relatively brief period in a cell's life.</t>
  </si>
  <si>
    <t>Yes. Plants produce thousands of enzymes because they need them to catalyze all their chemical reactions—photosynthesis, respiration, digestion of nutrients, building cell walls, producing hormones, and much more. All living organisms need enzymes to function.</t>
  </si>
  <si>
    <t>No. Most cells have a nucleus, but there are exceptions:
Red blood cells (mature ones) lose their nucleus to make more room for hemoglobin
Platelets are cell fragments without nuclei
Some other specialized cells may lack nuclei</t>
  </si>
  <si>
    <t>No. Mitosis requires active cellular processes—DNA replication, energy (ATP), functioning organelles, and protein synthesis. Dead cells have lost these capabilities, so they cannot divide.</t>
  </si>
  <si>
    <t>No. The cell membrane is flexible and fluid (it's called the "fluid mosaic model"). Proteins and lipids can move around within it. This flexibility allows cells to change shape, move, and interact with their environment.
(Note: Plant cells also have a rigid cell wall outside the membrane, but the membrane itself is still flexible.)</t>
  </si>
  <si>
    <t>No. ATP is produced continuously in every living cell, all the time—whether you're exercising, sitting, sleeping, or even just thinking. Your cells constantly need energy for basic functions like maintaining ion gradients, synthesizing molecules, and keeping you alive. Exercise just increases the rate of ATP production to meet higher energy demands.</t>
  </si>
  <si>
    <t>Correction (if any)</t>
  </si>
  <si>
    <t>Misconceptions</t>
  </si>
  <si>
    <t>Copilot</t>
  </si>
  <si>
    <t>Clarity (1-5)</t>
  </si>
  <si>
    <t>Completeness (1-5)</t>
  </si>
  <si>
    <t>Yes, DNA is longer than a cell, but thanks to its microscopic width and efficient packaging, it fits neatly inside.                                                                                                          -  DNA vs. Cell Size
- DNA molecule length: If you stretched out all the DNA from a single human cell, it would be about 2 meters long.
- Cell size: A typical human cell is only about 10–100 micrometers (µm) across — that’s a millionth of a meter.
- DNA is much longer than the cell itself when fully extended.
- However, DNA is extremely thin (about 2 nanometers wide), so it can be tightly packed and coiled inside the cell’s nucleus.
- Specialized proteins (like histones) help wrap DNA into compact structures called chromosomes, allowing it to fit inside the tiny cell.</t>
  </si>
  <si>
    <t>DNA is larger than a cell.</t>
  </si>
  <si>
    <t>Comment (if any)</t>
  </si>
  <si>
    <t>The answer is scientifically correct but confusing.
The model starts with “Yes, DNA is longer than a cell,” which reinforces the misconception.
It should clearly distinguish between the physical length of the DNA molecule when stretched out and the actual size/volume of DNA compared to a whole cell.</t>
  </si>
  <si>
    <t xml:space="preserve">Yes — plants do respire. Just like animals, plants carry out cellular respiration to release energy from glucose. This process happens continuously, day and night, and is essential for their survival.
 How Plant Respiration Works
- Energy release: Plants break down glucose (produced during photosynthesis) in the presence of oxygen to form ATP, the energy currency of cells.
- Byproducts: The process produces carbon dioxide and water, just like in animals.
- Equation: C6H12O6 + O2 → CO2 + H2O + Energy (ATP)
- Gas exchange: Plants don’t have lungs. Instead, they use stomata (tiny pores in leaves) and lenticels (small openings in stems) to exchange gases. Roots also absorb oxygen from air spaces in the soil.
</t>
  </si>
  <si>
    <t>Yes. Plants respire 24/7.
They take in oxygen and break down glucose to release energy, just like animals. Photosynthesis (making glucose and releasing oxygen) happens only in light, but respiration never stops.</t>
  </si>
  <si>
    <t>Yes — plant cells do have mitochondria. They are essential organelles found in all eukaryotic cells, including plants, and they work alongside chloroplasts to keep the cell alive and functioning.
Key Facts
- Mitochondria are the “powerhouses” of the cell: They carry out cellular respiration, breaking down glucose into ATP (energy) that fuels growth, repair, and other vital processes.
- Plant cells contain both mitochondria and chloroplasts:
- Chloroplasts capture sunlight and make glucose during photosynthesis.
- Mitochondria then use that glucose to produce ATP through respiration.
- Complementary roles: Chloroplasts provide the food, mitochondria release the energy from that food.
- Structure: Plant mitochondria have double membranes and their own DNA, just like animal mitochondria.</t>
  </si>
  <si>
    <t>No, they’re not the same 🙂
- Breathing (respiration in the lungs) is the physical process of inhaling oxygen and exhaling carbon dioxide.
- Cellular respiration happens inside cells, where oxygen is used to break down glucose and release energy in the form of ATP.
So, breathing brings oxygen into the body, while cellular respiration uses that oxygen to produce energy.</t>
  </si>
  <si>
    <t>No, cells do not stop functioning when they are not dividing 👍
- Cell division is just one part of a cell’s life cycle.
- When cells are not dividing, they are usually in a phase called interphase, where they actively carry out their normal functions.
- During interphase, cells:
- Produce proteins and enzymes
- Carry out metabolism (like cellular respiration)
- Transport materials in and out
- Maintain homeostasis
- Prepare for future division if needed
So, most of a cell’s life is actually spent not dividing, but still working hard to keep the organism alive.</t>
  </si>
  <si>
    <t>Yes, plants do produce enzymes 🌱
- Why? Enzymes are biological catalysts that speed up chemical reactions. Plants need them to survive because almost every process in a plant cell requires enzymes.
- Examples of plant enzymes:
- Amylase – breaks down starch into sugars.
- Rubisco – helps fix carbon dioxide during photosynthesis.
- Cellulase – helps remodel cell walls.
- Reason: Without enzymes, reactions like photosynthesis, respiration, and nutrient transport would be far too slow to sustain life.
So, just like animals and humans, plants rely on enzymes to carry out their essential life processes efficiently.</t>
  </si>
  <si>
    <t>Not every cell in the human body has a nucleus 🙂
- Most cells do: For example, muscle cells, skin cells, and nerve cells all contain a nucleus that controls their activities.
- Some cells don’t: Mature red blood cells in humans lose their nucleus to make more room for hemoglobin, which allows them to carry oxygen efficiently.
- Special case: Platelets (involved in blood clotting) are actually fragments of larger cells and also lack a nucleus.
So, while the nucleus is essential for many cell functions, certain specialized cells work without one to better perform their roles.</t>
  </si>
  <si>
    <t>No, dead cells cannot undergo mitosis 🚫
- Mitosis is an active process that requires energy, enzymes, and intact DNA.
- Once a cell dies, it loses its ability to carry out metabolic activities, so it cannot divide.
- Only living cells with functioning organelles and energy supply can go through mitosis.
In fact, most of a cell’s energy during division is spent on organizing chromosomes and building the mitotic spindle — things impossible for a dead cell.</t>
  </si>
  <si>
    <t>No, the cell membrane is not rigid 🙂
- It is described by the fluid mosaic model, meaning it’s flexible and dynamic.
- The membrane is made of a phospholipid bilayer with proteins embedded in it, and the lipids can move sideways, giving it fluidity.
- This flexibility allows cells to:
- Change shape
- Transport materials in and out
- Communicate with other cells
- Repair themselves if damaged
So, instead of being stiff like a wall, the cell membrane is more like a flexible, protective skin that adapts to the cell’s needs.</t>
  </si>
  <si>
    <t>No, ATP is not only produced during exercise ⚡
- ATP (adenosine triphosphate) is the energy currency of the cell, and it’s needed all the time.
- Even when you’re resting, sleeping, or just sitting still, your cells are constantly producing ATP to power essential processes like:
- Breathing and heartbeat
- Nerve signaling
- Cell repair and growth
- Digestion and circulation
- Exercise increases the demand for ATP, so your cells speed up production, but ATP is always being made because life processes never stop.
Think of it like electricity in a house: exercise is like turning on more appliances, but the power (ATP) is always running to keep the basics going.</t>
  </si>
  <si>
    <t>Short &amp; correct and clearly stated. Brief but still complete enough for the question. No unnecessary complexity.</t>
  </si>
  <si>
    <t>Correct answer. Added more information  related to Protiens, lipids and flexibility  which  improves precision and clarity of answer.</t>
  </si>
  <si>
    <t xml:space="preserve">Correct and thorough explanation with extra details. More than required for a short answer, but excellent if learner wants deeper understanding. </t>
  </si>
  <si>
    <t>Correct answer; short and  clear.     (Model could also mention size for example to make it more clear and precise. For example: Human cell: ~10–100 micrometers in diameter.
- DNA double helix: ~2 nanometers wide.
- That’s a difference of thousands of times — the cell is vastly larger than the DNA inside it.)</t>
  </si>
  <si>
    <t>Most balanced answer; correct and complete (Model could add the comparison of size of a cell and its DNA to make it more clear.)</t>
  </si>
  <si>
    <t>Short, accurate, and easy to understand. Could add one sentence naming mitochondria as the site of respiration for learners who want a bit more detail.</t>
  </si>
  <si>
    <t>Accurate and precise — includes ATP and mitochondria which improve scientific clarity; consider adding a one-line plain-English note about ATP for beginners.</t>
  </si>
  <si>
    <t>Thorough and useful (includes equation and gas-exchange routes). More detailed than needed for a quick answer — excellent for learners wanting deeper explanation.</t>
  </si>
  <si>
    <t>Correct answer. Added technical terminology (glucose  &amp; ATP), which improves clarity; consider adding a one-line plain-English note about ATP for beginners.</t>
  </si>
  <si>
    <t xml:space="preserve">Thorough and well explaned with extra details (roles of chloroplasts vs mitochondria, structure). More than required for a short answer, but excellent if learner wants deeper understanding. </t>
  </si>
  <si>
    <t>Accurate and clear; mentions ATP and links the two processes well — good for learners who want the connection.</t>
  </si>
  <si>
    <t>Thorough and learner-friendly; explains both processes and their relationship (breathing supplies O₂ for cellular respiration).</t>
  </si>
  <si>
    <t>Accurate and precise. Added technical terminology (Interphase), which improves clarity for learners.</t>
  </si>
  <si>
    <t xml:space="preserve">Thorough and accurate explanation with extra details. More than required for a short answer, but excellent if learner wants deeper understanding. </t>
  </si>
  <si>
    <t>Short &amp; correct and clearly stated. Brief but still complete enough for the question; could include one example enzyme (e.g., Rubisco) to add a concrete detail.</t>
  </si>
  <si>
    <t>Accurate and precise; Added technical terminology (catalysis etc), which improves scientific clarity.</t>
  </si>
  <si>
    <t xml:space="preserve">Thorough and concrete (lists specific enzymes and functions). More detail than required for a quick answer — very useful for learners wants deeper understanding. </t>
  </si>
  <si>
    <t>Accurate and precise; Added examples with explanation, which improves clarity.</t>
  </si>
  <si>
    <t>Correct answer. Added technical terminology (ATP, protien syntheses etc.), which improves scientific clarity.</t>
  </si>
  <si>
    <t xml:space="preserve">Correct and thorough explanation with extra details and examples. More complete than required, but excellent if learner wants deeper understanding. </t>
  </si>
  <si>
    <t xml:space="preserve">Correct and detailed explanation of fluid mosaic model, function, and flexibility advantages. More than required for a short answer, but excellent if learner wants deeper understanding. </t>
  </si>
  <si>
    <t>Short &amp; correct and clearly stated.</t>
  </si>
  <si>
    <t>Correct and clear explanation; Added technical terminology (ion gradients, synthsesizing molecules), which improves precision but may reduce simplicity for beginners.</t>
  </si>
  <si>
    <t>Accuracy (1-5)</t>
  </si>
  <si>
    <t>Correct version should state:
Lengthwise: DNA can be longer than a cell when stretched out, but Size/volume-wise: A cell is far larger because DNA is tightly packaged into chromatin and chromosomes.
Therefore, overall DNA is not larger than a cell.</t>
  </si>
  <si>
    <t>Is DNA larger than a cell?</t>
  </si>
  <si>
    <t>The article Interaction among Skeletal Muscle Metabolic Energy Systems (PMC3005844); link: https://pmc.ncbi.nlm.nih.gov/articles/PMC3005844, shows that during intense exercise, muscle cells regenerate ATP at a rate that matches increased ATP demand — because muscle contraction consumes ATP rapidly and the cells must produce it more quickly to meet the demand.</t>
  </si>
  <si>
    <t>ChatGPT-5</t>
  </si>
  <si>
    <t xml:space="preserve">Scoring Rubric: </t>
  </si>
  <si>
    <t>No correction needed. (Optional: add numeric comparison: cell ~10–100 µm vs DNA ~2 m when stretched for clarity.)</t>
  </si>
  <si>
    <t>No correction needed.</t>
  </si>
  <si>
    <t>No correction needed. (Optional: mention mitochondria as site of respiration.)</t>
  </si>
  <si>
    <t>No correction needed. (Optional: add example enzyme, e.g., Rubisco.)</t>
  </si>
  <si>
    <t>No correction needed. (Optional: add platelet example for completeness.)</t>
  </si>
  <si>
    <t xml:space="preserve">No correction needed. </t>
  </si>
  <si>
    <t>OpenStax Biology 2e, Ch.5 “Plasma Membrane / Fluid Mosaic Model” (accessed 2025-11-20) Link: https://openstax.org/books/biology-2e/pages/5-1-components-and-structure</t>
  </si>
  <si>
    <t>OpenStax Biology 2e, Ch.4 “Eukaryotic Cells” (accessed 2025-11-17)</t>
  </si>
  <si>
    <t>Khan Academy — “Cellular respiration overview” (accessed 2025-11-17)</t>
  </si>
  <si>
    <t>Encyclopaedia Britannica — “Adenosine triphosphate (ATP)” (accessed 2025-11-20); describes ATP as the universal energy-carrying molecule in cells — used continuously by living cells for metabolism, transport, and other functions. Link: https://www.britannica.com/science/adenosine-triphosphate</t>
  </si>
  <si>
    <t>Khan Academy — “Chloroplasts and mitochondria”(accessed 2025-11-18) ; Link: https://www.khanacademy.org/science/ap-biology/cell-structure-and-function/cell-compartmentalization-and-its-origins/a/chloroplasts-and-mitochondria</t>
  </si>
  <si>
    <t>Khan Academy: “An introduction to cellular respiration”(accessed 2025-11-18) ; Link: https://www.khanacademy.org/science/hs-bio/x230b3ff252126bb6:energy-and-matter-in-biological-systems/x230b3ff252126bb6:cellular-respiration/a/cellular-respiration-overview</t>
  </si>
  <si>
    <t>khan Academy: "Lesson 6: Cellular respiration" &amp; "Respiartion &amp; breathing" (accessed 2025-11-18) link of video: https://www.khanacademy.org/science/odisha-board-preparation-class-10in/x3c214daca98fdd3d:week-1/x3c214daca98fdd3d:life-processes/v/respiration-breathing</t>
  </si>
  <si>
    <t>Khan academy:" Lesson 3: Mitosis" (accessed 2025-11-19)Link: https://www.khanacademy.org/science/telengana-class-11-botany/xdc79b78835d064b7:cell-cycle-and-cell-division/xdc79b78835d064b7:mitosis/a/hs-the-cell-cycle-and-mitosis-review</t>
  </si>
  <si>
    <t>OpenStax — “The Nucleus and DNA Replication”; (accessed 2025-11-19)Link: https://openstax.org/books/anatomy-and-physiology-2e/pages/3-3-the-nucleus-and-dna-replication</t>
  </si>
  <si>
    <t>OpenStax Biology 2e — "The Cell Cycle" (accessed 2025-11-19); It explains that mitosis is part of the cell cycle, which is a regulated process that living cells perform. Link:
https://openstax.org/books/biology-2e/pages/10-2-the-cell-cycle</t>
  </si>
  <si>
    <t>Misleading phrasing</t>
  </si>
  <si>
    <t>Oversimplification</t>
  </si>
  <si>
    <t>Observed Errors</t>
  </si>
  <si>
    <t>Avg Completeness</t>
  </si>
  <si>
    <t>Avg Clarity</t>
  </si>
  <si>
    <t>Avg Accuracy</t>
  </si>
  <si>
    <t>Avg Final Score</t>
  </si>
  <si>
    <t>Correct answer, but brief. Adding one sentence explaining why non-living cells can't undergo mitosis would make it fully complete.</t>
  </si>
  <si>
    <t>No factual correction needed — improvement suggestion: add brief explanation for completeness.</t>
  </si>
  <si>
    <t>Correct but brief and lacking clarity. Could explain how phospholipids/proteins move (fluid mosaic model) and why flexibility matters (e.g., transport, shape change) for more clarity.</t>
  </si>
  <si>
    <t>No factual correction needed — improvement suggestion:  add short explanation of membrane fluidity and function for clarity and completeness.</t>
  </si>
  <si>
    <t>OpenStax — "Concepts of Biology (OpenStax) textbook, Chapter on Photosynthesis &amp; Cellular Respiration": it states that Plants are capable of both photosynthesis and cellular respiration, since they contain both chloroplasts and mitochondria. (accessed 2025-11-17); Link: https://openstax.org/books/concepts-biology/pages/5-chapter-summary</t>
  </si>
  <si>
    <t>Error Type</t>
  </si>
  <si>
    <t>No error</t>
  </si>
  <si>
    <t>Khan Academy “Levels of DNA organization” &amp; Khan Academy. ""Organelles in eukaryotic cells."" (accessed 2025-11-17); Link: https://www.khanacademy.org/test-prep/mcat/cells/eukaryotic-cells/a/organelles</t>
  </si>
  <si>
    <t>Khan Academy — "lesson4: Photsynthesis"(accessed 2025-11-19); Link: https://www.khanacademy.org/science/ap-biology/cellular-energetics/photosynthesis/a/calvin-cycle(“The Calvin cycle” — describes a specific enzyme RuBisCO used in plant photosynthesis.)</t>
  </si>
  <si>
    <t>oversimplification</t>
  </si>
  <si>
    <t>Same as above</t>
  </si>
  <si>
    <t>Model</t>
  </si>
  <si>
    <t>AI Model Performance Summary:</t>
  </si>
  <si>
    <t>Summary of Observed Error Types:</t>
  </si>
  <si>
    <t>Key Observations:</t>
  </si>
  <si>
    <t>Conclusion:</t>
  </si>
  <si>
    <r>
      <t xml:space="preserve">• </t>
    </r>
    <r>
      <rPr>
        <b/>
        <sz val="11"/>
        <color theme="1"/>
        <rFont val="Aptos Narrow"/>
        <family val="2"/>
        <scheme val="minor"/>
      </rPr>
      <t>Copilot</t>
    </r>
    <r>
      <rPr>
        <sz val="11"/>
        <color theme="1"/>
        <rFont val="Aptos Narrow"/>
        <family val="2"/>
        <scheme val="minor"/>
      </rPr>
      <t xml:space="preserve"> performed very well and often provided deeper explanations, useful for learning; one response had slightly misleading phrasing.</t>
    </r>
  </si>
  <si>
    <r>
      <t xml:space="preserve">• </t>
    </r>
    <r>
      <rPr>
        <b/>
        <sz val="11"/>
        <color theme="1"/>
        <rFont val="Aptos Narrow"/>
        <family val="2"/>
        <scheme val="minor"/>
      </rPr>
      <t>ChatGPT-5</t>
    </r>
    <r>
      <rPr>
        <sz val="11"/>
        <color theme="1"/>
        <rFont val="Aptos Narrow"/>
        <family val="2"/>
        <scheme val="minor"/>
      </rPr>
      <t xml:space="preserve"> performed well overall but but sometimes too brief, which occasionally reduced completeness.</t>
    </r>
  </si>
  <si>
    <r>
      <t xml:space="preserve">• </t>
    </r>
    <r>
      <rPr>
        <b/>
        <sz val="11"/>
        <color theme="1"/>
        <rFont val="Aptos Narrow"/>
        <family val="2"/>
        <scheme val="minor"/>
      </rPr>
      <t>ChatGPT-5 showed slightly lower completeness</t>
    </r>
    <r>
      <rPr>
        <sz val="11"/>
        <color theme="1"/>
        <rFont val="Aptos Narrow"/>
        <family val="2"/>
        <scheme val="minor"/>
      </rPr>
      <t xml:space="preserve"> due to occasional oversimplification/ brief responses.</t>
    </r>
  </si>
  <si>
    <r>
      <t xml:space="preserve">• </t>
    </r>
    <r>
      <rPr>
        <b/>
        <sz val="11"/>
        <color theme="1"/>
        <rFont val="Aptos Narrow"/>
        <family val="2"/>
        <scheme val="minor"/>
      </rPr>
      <t>Copilot performed well overall</t>
    </r>
    <r>
      <rPr>
        <sz val="11"/>
        <color theme="1"/>
        <rFont val="Aptos Narrow"/>
        <family val="2"/>
        <scheme val="minor"/>
      </rPr>
      <t>,</t>
    </r>
    <r>
      <rPr>
        <b/>
        <sz val="11"/>
        <color theme="1"/>
        <rFont val="Aptos Narrow"/>
        <family val="2"/>
        <scheme val="minor"/>
      </rPr>
      <t xml:space="preserve"> </t>
    </r>
    <r>
      <rPr>
        <sz val="11"/>
        <color theme="1"/>
        <rFont val="Aptos Narrow"/>
        <family val="2"/>
        <scheme val="minor"/>
      </rPr>
      <t>but one response had misleading phrasing.</t>
    </r>
  </si>
  <si>
    <r>
      <t xml:space="preserve">• </t>
    </r>
    <r>
      <rPr>
        <b/>
        <sz val="11"/>
        <color theme="1"/>
        <rFont val="Aptos Narrow"/>
        <family val="2"/>
        <scheme val="minor"/>
      </rPr>
      <t xml:space="preserve">Claude consistently achieved perfect 5s </t>
    </r>
    <r>
      <rPr>
        <sz val="11"/>
        <color theme="1"/>
        <rFont val="Aptos Narrow"/>
        <family val="2"/>
        <scheme val="minor"/>
      </rPr>
      <t>across accuracy, clarity, and completeness — and received 2/2 scores on all responses.</t>
    </r>
  </si>
  <si>
    <r>
      <t>•</t>
    </r>
    <r>
      <rPr>
        <b/>
        <sz val="11"/>
        <color theme="1"/>
        <rFont val="Aptos Narrow"/>
        <family val="2"/>
        <scheme val="minor"/>
      </rPr>
      <t xml:space="preserve"> Claude</t>
    </r>
    <r>
      <rPr>
        <sz val="11"/>
        <color theme="1"/>
        <rFont val="Aptos Narrow"/>
        <family val="2"/>
        <scheme val="minor"/>
      </rPr>
      <t xml:space="preserve"> ranked highest— fully correct answers, no errors, and maximum score (2) on every question.</t>
    </r>
  </si>
  <si>
    <t>Dataset Information :</t>
  </si>
  <si>
    <t>Category Scoring (1–5 per response)</t>
  </si>
  <si>
    <t>Score</t>
  </si>
  <si>
    <t>Meaning</t>
  </si>
  <si>
    <t>Poor — incorrect or unclear</t>
  </si>
  <si>
    <t>Fair — partly correct or vague</t>
  </si>
  <si>
    <t>Good — mostly correct</t>
  </si>
  <si>
    <t>Very Good — correct and clear</t>
  </si>
  <si>
    <t>Excellent — correct, clear, complete</t>
  </si>
  <si>
    <t>Final Correctness Score (0–2)</t>
  </si>
  <si>
    <t>Final Score</t>
  </si>
  <si>
    <t>Fully correct – no major issues</t>
  </si>
  <si>
    <t>Partially correct – minor clarity/completeness issues</t>
  </si>
  <si>
    <t>Incorrect or misleading</t>
  </si>
  <si>
    <r>
      <t>Dataset Type:</t>
    </r>
    <r>
      <rPr>
        <sz val="11"/>
        <color theme="1"/>
        <rFont val="Aptos Narrow"/>
        <family val="2"/>
        <scheme val="minor"/>
      </rPr>
      <t xml:space="preserve"> AI Biological Knowledge Evaluation</t>
    </r>
  </si>
  <si>
    <r>
      <t>Domain:</t>
    </r>
    <r>
      <rPr>
        <sz val="11"/>
        <color theme="1"/>
        <rFont val="Aptos Narrow"/>
        <family val="2"/>
        <scheme val="minor"/>
      </rPr>
      <t xml:space="preserve"> Cell Biology &amp; Misconceptions</t>
    </r>
  </si>
  <si>
    <r>
      <t>Data Collection Period:</t>
    </r>
    <r>
      <rPr>
        <sz val="11"/>
        <color rgb="FF1F2328"/>
        <rFont val="Aptos Display"/>
        <family val="2"/>
        <scheme val="major"/>
      </rPr>
      <t> 15–30 Nov 2025.</t>
    </r>
  </si>
  <si>
    <r>
      <t>Models Evaluated:</t>
    </r>
    <r>
      <rPr>
        <sz val="11"/>
        <color rgb="FF1F2328"/>
        <rFont val="Aptos Display"/>
        <family val="2"/>
        <scheme val="major"/>
      </rPr>
      <t> ChatGPT-5, Claude (latest public), Copilot.</t>
    </r>
  </si>
  <si>
    <r>
      <t>Evaluation Method:</t>
    </r>
    <r>
      <rPr>
        <sz val="11"/>
        <color rgb="FF1F2328"/>
        <rFont val="Aptos Display"/>
        <family val="2"/>
        <scheme val="major"/>
      </rPr>
      <t> Responses copied verbatim; assessed manually and scored numerically</t>
    </r>
  </si>
  <si>
    <t>Note: Length of response does not affect scoring unless it causes confusion or misinformation.</t>
  </si>
  <si>
    <t>Cell Biology Misconceptions - AI Model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</si>
</sst>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ptos Narrow"/>
      <family val="2"/>
      <scheme val="minor"/>
    </font>
    <font>
      <b/>
      <sz val="11"/>
      <color theme="1"/>
      <name val="Aptos Narrow"/>
      <family val="2"/>
      <scheme val="minor"/>
    </font>
    <font>
      <b/>
      <sz val="13.5"/>
      <color theme="1"/>
      <name val="Aptos Narrow"/>
      <family val="2"/>
      <scheme val="minor"/>
    </font>
    <font>
      <sz val="8"/>
      <name val="Aptos Narrow"/>
      <family val="2"/>
      <scheme val="minor"/>
    </font>
    <font>
      <b/>
      <sz val="18"/>
      <color theme="1"/>
      <name val="Aptos Narrow"/>
      <family val="2"/>
      <scheme val="minor"/>
    </font>
    <font>
      <b/>
      <sz val="24"/>
      <color theme="1"/>
      <name val="Aptos Narrow"/>
      <family val="2"/>
      <scheme val="minor"/>
    </font>
    <font>
      <b/>
      <sz val="14"/>
      <color theme="1"/>
      <name val="Aptos Narrow"/>
      <family val="2"/>
      <scheme val="minor"/>
    </font>
    <font>
      <sz val="11"/>
      <color rgb="FF1F2328"/>
      <name val="Aptos Narrow"/>
      <family val="2"/>
      <scheme val="minor"/>
    </font>
    <font>
      <sz val="11"/>
      <color rgb="FF1F2328"/>
      <name val="Aptos Display"/>
      <family val="2"/>
      <scheme val="major"/>
    </font>
    <font>
      <sz val="11"/>
      <color rgb="FF1F2328"/>
      <name val="Aptos Display"/>
      <family val="2"/>
      <scheme val="major"/>
    </font>
    <font>
      <sz val="11"/>
      <color theme="1"/>
      <name val="Aptos Display"/>
      <family val="2"/>
      <scheme val="major"/>
    </font>
    <font>
      <b/>
      <sz val="11"/>
      <color theme="1"/>
      <name val="Aptos Display"/>
      <family val="2"/>
      <scheme val="maj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right/>
      <top/>
      <bottom style="medium">
        <color auto="1"/>
      </bottom>
      <diagonal/>
    </border>
    <border>
      <left style="thin">
        <color theme="1"/>
      </left>
      <right style="thin">
        <color theme="1"/>
      </right>
      <top style="thin">
        <color theme="1"/>
      </top>
      <bottom style="thin">
        <color theme="1"/>
      </bottom>
      <diagonal/>
    </border>
  </borders>
  <cellStyleXfs count="1">
    <xf numFmtId="0" fontId="0" fillId="0" borderId="0"/>
  </cellStyleXfs>
  <cellXfs count="82">
    <xf numFmtId="0" fontId="0" fillId="0" borderId="0" xfId="0"/>
    <xf numFmtId="0" fontId="2" fillId="0" borderId="0" xfId="0" applyFont="1"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3" xfId="0" applyFont="1" applyBorder="1" applyAlignment="1">
      <alignment horizontal="center" vertical="center" wrapText="1"/>
    </xf>
    <xf numFmtId="0" fontId="0" fillId="0" borderId="4" xfId="0" applyBorder="1" applyAlignment="1">
      <alignment vertical="center" wrapText="1"/>
    </xf>
    <xf numFmtId="0" fontId="0" fillId="0" borderId="4" xfId="0" applyBorder="1" applyAlignment="1">
      <alignment horizontal="center" vertical="center" wrapText="1"/>
    </xf>
    <xf numFmtId="0" fontId="0" fillId="0" borderId="5" xfId="0" applyBorder="1" applyAlignment="1">
      <alignment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center" vertical="center" wrapText="1"/>
    </xf>
    <xf numFmtId="0" fontId="4" fillId="0" borderId="0" xfId="0" applyFont="1"/>
    <xf numFmtId="0" fontId="1" fillId="0" borderId="0" xfId="0" applyFont="1"/>
    <xf numFmtId="0" fontId="1" fillId="0" borderId="0" xfId="0" applyFont="1" applyAlignment="1">
      <alignment horizontal="left" vertical="top" wrapText="1"/>
    </xf>
    <xf numFmtId="0" fontId="1" fillId="0" borderId="0" xfId="0" applyFont="1" applyAlignment="1">
      <alignment horizontal="left" vertical="center" indent="1"/>
    </xf>
    <xf numFmtId="0" fontId="5" fillId="0" borderId="0" xfId="0" applyFont="1"/>
    <xf numFmtId="0" fontId="0" fillId="0" borderId="0" xfId="0" applyAlignment="1">
      <alignment horizontal="left" vertical="top" wrapText="1"/>
    </xf>
    <xf numFmtId="0" fontId="0" fillId="0" borderId="1" xfId="0" applyBorder="1" applyAlignment="1">
      <alignment horizontal="left" vertical="center" wrapText="1"/>
    </xf>
    <xf numFmtId="0" fontId="0" fillId="0" borderId="5" xfId="0" applyBorder="1" applyAlignment="1">
      <alignment horizontal="left" vertical="center" wrapText="1"/>
    </xf>
    <xf numFmtId="0" fontId="0" fillId="0" borderId="1" xfId="0" applyBorder="1" applyAlignment="1">
      <alignment horizontal="left" wrapText="1"/>
    </xf>
    <xf numFmtId="0" fontId="0" fillId="0" borderId="3" xfId="0" applyBorder="1" applyAlignment="1">
      <alignment horizontal="left" wrapText="1"/>
    </xf>
    <xf numFmtId="0" fontId="0" fillId="0" borderId="9" xfId="0" applyBorder="1" applyAlignment="1">
      <alignment horizontal="left" vertical="center" wrapText="1"/>
    </xf>
    <xf numFmtId="0" fontId="0" fillId="0" borderId="8" xfId="0" applyBorder="1" applyAlignment="1">
      <alignment horizontal="left" vertical="center" wrapText="1"/>
    </xf>
    <xf numFmtId="0" fontId="0" fillId="0" borderId="6" xfId="0" applyBorder="1" applyAlignment="1">
      <alignment horizontal="left" vertical="center" wrapText="1"/>
    </xf>
    <xf numFmtId="0" fontId="0" fillId="0" borderId="9" xfId="0" applyBorder="1" applyAlignment="1">
      <alignment horizontal="left" vertical="top" wrapText="1"/>
    </xf>
    <xf numFmtId="0" fontId="0" fillId="0" borderId="4" xfId="0" applyBorder="1" applyAlignment="1">
      <alignment horizontal="left" vertical="top" wrapText="1"/>
    </xf>
    <xf numFmtId="0" fontId="0" fillId="0" borderId="1" xfId="0" applyBorder="1" applyAlignment="1">
      <alignment horizontal="left" vertical="top" wrapText="1"/>
    </xf>
    <xf numFmtId="0" fontId="0" fillId="0" borderId="5" xfId="0" applyBorder="1" applyAlignment="1">
      <alignment horizontal="left" vertical="top" wrapText="1"/>
    </xf>
    <xf numFmtId="0" fontId="0" fillId="0" borderId="8" xfId="0" applyBorder="1" applyAlignment="1">
      <alignment horizontal="left" vertical="top" wrapText="1"/>
    </xf>
    <xf numFmtId="0" fontId="0" fillId="0" borderId="3" xfId="0" applyBorder="1" applyAlignment="1">
      <alignment horizontal="left" vertical="top" wrapText="1"/>
    </xf>
    <xf numFmtId="0" fontId="0" fillId="0" borderId="6" xfId="0" applyBorder="1" applyAlignment="1">
      <alignment horizontal="left" vertical="top"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164" fontId="0" fillId="0" borderId="1"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64" fontId="0" fillId="0" borderId="6" xfId="0" applyNumberFormat="1" applyBorder="1" applyAlignment="1">
      <alignment horizontal="center" vertical="center"/>
    </xf>
    <xf numFmtId="0" fontId="0" fillId="0" borderId="15" xfId="0" applyBorder="1" applyAlignment="1">
      <alignment horizontal="center" vertical="center"/>
    </xf>
    <xf numFmtId="164" fontId="0" fillId="0" borderId="9" xfId="0" applyNumberFormat="1" applyBorder="1" applyAlignment="1">
      <alignment horizontal="center" vertical="center"/>
    </xf>
    <xf numFmtId="0" fontId="6" fillId="0" borderId="0" xfId="0" applyFont="1"/>
    <xf numFmtId="0" fontId="0" fillId="0" borderId="1"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16" xfId="0" applyFont="1" applyBorder="1" applyAlignment="1">
      <alignment horizontal="center" vertical="center"/>
    </xf>
    <xf numFmtId="0" fontId="1" fillId="0" borderId="4" xfId="0" applyFont="1" applyBorder="1" applyAlignment="1">
      <alignment horizontal="center" vertical="center"/>
    </xf>
    <xf numFmtId="0" fontId="1" fillId="0" borderId="17" xfId="0" applyFont="1" applyBorder="1" applyAlignment="1">
      <alignment horizontal="center" vertical="center"/>
    </xf>
    <xf numFmtId="0" fontId="1" fillId="0" borderId="10" xfId="0" applyFont="1" applyBorder="1" applyAlignment="1">
      <alignment horizontal="center" vertical="center"/>
    </xf>
    <xf numFmtId="0" fontId="1" fillId="0" borderId="12" xfId="0" applyFont="1" applyBorder="1" applyAlignment="1">
      <alignment horizontal="center" vertical="center"/>
    </xf>
    <xf numFmtId="0" fontId="1" fillId="0" borderId="14" xfId="0" applyFont="1" applyBorder="1" applyAlignment="1">
      <alignment horizontal="center" vertical="center"/>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1" fillId="0" borderId="1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7" xfId="0" applyFont="1"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left" vertical="center" indent="1"/>
    </xf>
    <xf numFmtId="0" fontId="1" fillId="0" borderId="0" xfId="0" applyFont="1" applyAlignment="1">
      <alignment horizontal="left" vertical="top"/>
    </xf>
    <xf numFmtId="0" fontId="7" fillId="0" borderId="0" xfId="0" applyFont="1" applyAlignment="1">
      <alignment vertical="center"/>
    </xf>
    <xf numFmtId="0" fontId="8" fillId="0" borderId="0" xfId="0" applyFont="1" applyAlignment="1">
      <alignment horizontal="left" vertical="center"/>
    </xf>
    <xf numFmtId="0" fontId="10" fillId="0" borderId="0" xfId="0" applyFont="1"/>
    <xf numFmtId="0" fontId="8" fillId="0" borderId="1" xfId="0" applyFont="1" applyBorder="1" applyAlignment="1">
      <alignment horizontal="center" vertical="center"/>
    </xf>
    <xf numFmtId="0" fontId="11" fillId="0" borderId="1" xfId="0" applyFont="1" applyBorder="1" applyAlignment="1">
      <alignment horizontal="center"/>
    </xf>
    <xf numFmtId="0" fontId="10" fillId="0" borderId="1" xfId="0" applyFont="1" applyBorder="1" applyAlignment="1">
      <alignment horizontal="left"/>
    </xf>
    <xf numFmtId="0" fontId="10" fillId="0" borderId="0" xfId="0" applyFont="1" applyAlignment="1">
      <alignment wrapText="1"/>
    </xf>
    <xf numFmtId="0" fontId="8" fillId="0" borderId="0" xfId="0" applyFont="1"/>
    <xf numFmtId="0" fontId="8" fillId="2" borderId="19" xfId="0" applyFont="1" applyFill="1" applyBorder="1" applyAlignment="1">
      <alignment horizontal="center" vertical="center" wrapText="1"/>
    </xf>
    <xf numFmtId="0" fontId="9" fillId="2" borderId="19" xfId="0" applyFont="1" applyFill="1" applyBorder="1" applyAlignment="1">
      <alignment vertical="top" wrapText="1"/>
    </xf>
    <xf numFmtId="0" fontId="8" fillId="3" borderId="19" xfId="0" applyFont="1" applyFill="1" applyBorder="1" applyAlignment="1">
      <alignment horizontal="center" vertical="center" wrapText="1"/>
    </xf>
    <xf numFmtId="0" fontId="9" fillId="3" borderId="19" xfId="0" applyFont="1" applyFill="1" applyBorder="1" applyAlignment="1">
      <alignment vertical="top" wrapText="1"/>
    </xf>
    <xf numFmtId="0" fontId="11" fillId="0" borderId="0" xfId="0" applyFont="1"/>
    <xf numFmtId="0" fontId="11" fillId="0" borderId="0" xfId="0" applyFont="1" applyAlignment="1">
      <alignment vertical="center"/>
    </xf>
    <xf numFmtId="0" fontId="8" fillId="0" borderId="0" xfId="0" applyFont="1" applyAlignment="1">
      <alignment vertical="center"/>
    </xf>
    <xf numFmtId="0" fontId="10" fillId="0" borderId="0" xfId="0" applyFont="1" applyAlignment="1">
      <alignment horizontal="center" vertical="center"/>
    </xf>
    <xf numFmtId="0" fontId="0" fillId="0" borderId="2" xfId="0" applyBorder="1" applyAlignment="1">
      <alignment horizontal="left" vertical="center" wrapText="1"/>
    </xf>
    <xf numFmtId="0" fontId="0" fillId="0" borderId="2" xfId="0" applyBorder="1" applyAlignment="1">
      <alignment horizontal="center" vertical="center" wrapText="1"/>
    </xf>
    <xf numFmtId="0" fontId="6" fillId="0" borderId="18"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GB" sz="1200" b="1" i="0" u="none" strike="noStrike" cap="none" normalizeH="0" baseline="0"/>
              <a:t>Accuracy vs Clarity vs Completeness</a:t>
            </a:r>
            <a:endParaRPr lang="en-NL" sz="1200" b="1"/>
          </a:p>
        </c:rich>
      </c:tx>
      <c:layout>
        <c:manualLayout>
          <c:xMode val="edge"/>
          <c:yMode val="edge"/>
          <c:x val="0.12730434557749246"/>
          <c:y val="5.2765626518907358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NL"/>
        </a:p>
      </c:txPr>
    </c:title>
    <c:autoTitleDeleted val="0"/>
    <c:plotArea>
      <c:layout/>
      <c:barChart>
        <c:barDir val="col"/>
        <c:grouping val="clustered"/>
        <c:varyColors val="0"/>
        <c:ser>
          <c:idx val="0"/>
          <c:order val="0"/>
          <c:tx>
            <c:strRef>
              <c:f>'AI model performance summary'!$A$4</c:f>
              <c:strCache>
                <c:ptCount val="1"/>
                <c:pt idx="0">
                  <c:v>ChatGPT-5</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'AI model performance summary'!$B$3:$D$3</c:f>
              <c:strCache>
                <c:ptCount val="3"/>
                <c:pt idx="0">
                  <c:v>Avg Accuracy</c:v>
                </c:pt>
                <c:pt idx="1">
                  <c:v>Avg Clarity</c:v>
                </c:pt>
                <c:pt idx="2">
                  <c:v>Avg Completeness</c:v>
                </c:pt>
              </c:strCache>
            </c:strRef>
          </c:cat>
          <c:val>
            <c:numRef>
              <c:f>'AI model performance summary'!$B$4:$D$4</c:f>
              <c:numCache>
                <c:formatCode>0.0</c:formatCode>
                <c:ptCount val="3"/>
                <c:pt idx="0">
                  <c:v>4.9000000000000004</c:v>
                </c:pt>
                <c:pt idx="1">
                  <c:v>4.8</c:v>
                </c:pt>
                <c:pt idx="2">
                  <c:v>4.5</c:v>
                </c:pt>
              </c:numCache>
            </c:numRef>
          </c:val>
          <c:extLst>
            <c:ext xmlns:c16="http://schemas.microsoft.com/office/drawing/2014/chart" uri="{C3380CC4-5D6E-409C-BE32-E72D297353CC}">
              <c16:uniqueId val="{00000000-6C94-4241-9305-E4C39B05D3A7}"/>
            </c:ext>
          </c:extLst>
        </c:ser>
        <c:ser>
          <c:idx val="1"/>
          <c:order val="1"/>
          <c:tx>
            <c:strRef>
              <c:f>'AI model performance summary'!$A$5</c:f>
              <c:strCache>
                <c:ptCount val="1"/>
                <c:pt idx="0">
                  <c:v>Claude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'AI model performance summary'!$B$3:$D$3</c:f>
              <c:strCache>
                <c:ptCount val="3"/>
                <c:pt idx="0">
                  <c:v>Avg Accuracy</c:v>
                </c:pt>
                <c:pt idx="1">
                  <c:v>Avg Clarity</c:v>
                </c:pt>
                <c:pt idx="2">
                  <c:v>Avg Completeness</c:v>
                </c:pt>
              </c:strCache>
            </c:strRef>
          </c:cat>
          <c:val>
            <c:numRef>
              <c:f>'AI model performance summary'!$B$5:$D$5</c:f>
              <c:numCache>
                <c:formatCode>0.0</c:formatCode>
                <c:ptCount val="3"/>
                <c:pt idx="0">
                  <c:v>5</c:v>
                </c:pt>
                <c:pt idx="1">
                  <c:v>5</c:v>
                </c:pt>
                <c:pt idx="2">
                  <c:v>5</c:v>
                </c:pt>
              </c:numCache>
            </c:numRef>
          </c:val>
          <c:extLst>
            <c:ext xmlns:c16="http://schemas.microsoft.com/office/drawing/2014/chart" uri="{C3380CC4-5D6E-409C-BE32-E72D297353CC}">
              <c16:uniqueId val="{00000001-6C94-4241-9305-E4C39B05D3A7}"/>
            </c:ext>
          </c:extLst>
        </c:ser>
        <c:ser>
          <c:idx val="2"/>
          <c:order val="2"/>
          <c:tx>
            <c:strRef>
              <c:f>'AI model performance summary'!$A$6</c:f>
              <c:strCache>
                <c:ptCount val="1"/>
                <c:pt idx="0">
                  <c:v>Copilot</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'AI model performance summary'!$B$3:$D$3</c:f>
              <c:strCache>
                <c:ptCount val="3"/>
                <c:pt idx="0">
                  <c:v>Avg Accuracy</c:v>
                </c:pt>
                <c:pt idx="1">
                  <c:v>Avg Clarity</c:v>
                </c:pt>
                <c:pt idx="2">
                  <c:v>Avg Completeness</c:v>
                </c:pt>
              </c:strCache>
            </c:strRef>
          </c:cat>
          <c:val>
            <c:numRef>
              <c:f>'AI model performance summary'!$B$6:$D$6</c:f>
              <c:numCache>
                <c:formatCode>0.0</c:formatCode>
                <c:ptCount val="3"/>
                <c:pt idx="0">
                  <c:v>4.9000000000000004</c:v>
                </c:pt>
                <c:pt idx="1">
                  <c:v>4.9000000000000004</c:v>
                </c:pt>
                <c:pt idx="2">
                  <c:v>4.9000000000000004</c:v>
                </c:pt>
              </c:numCache>
            </c:numRef>
          </c:val>
          <c:extLst>
            <c:ext xmlns:c16="http://schemas.microsoft.com/office/drawing/2014/chart" uri="{C3380CC4-5D6E-409C-BE32-E72D297353CC}">
              <c16:uniqueId val="{00000002-6C94-4241-9305-E4C39B05D3A7}"/>
            </c:ext>
          </c:extLst>
        </c:ser>
        <c:dLbls>
          <c:showLegendKey val="0"/>
          <c:showVal val="0"/>
          <c:showCatName val="0"/>
          <c:showSerName val="0"/>
          <c:showPercent val="0"/>
          <c:showBubbleSize val="0"/>
        </c:dLbls>
        <c:gapWidth val="199"/>
        <c:axId val="1744397871"/>
        <c:axId val="1744406991"/>
      </c:barChart>
      <c:catAx>
        <c:axId val="174439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NL"/>
          </a:p>
        </c:txPr>
        <c:crossAx val="1744406991"/>
        <c:crosses val="autoZero"/>
        <c:auto val="1"/>
        <c:lblAlgn val="ctr"/>
        <c:lblOffset val="100"/>
        <c:noMultiLvlLbl val="0"/>
      </c:catAx>
      <c:valAx>
        <c:axId val="1744406991"/>
        <c:scaling>
          <c:orientation val="minMax"/>
        </c:scaling>
        <c:delete val="0"/>
        <c:axPos val="l"/>
        <c:minorGridlines>
          <c:spPr>
            <a:ln w="9525" cap="flat" cmpd="sng" algn="ctr">
              <a:no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744397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j-lt"/>
                <a:ea typeface="+mn-ea"/>
                <a:cs typeface="+mn-cs"/>
              </a:defRPr>
            </a:pPr>
            <a:r>
              <a:rPr lang="en-GB" sz="1200" b="1" i="0" u="none" strike="noStrike" baseline="0"/>
              <a:t>Final Score distribution</a:t>
            </a:r>
            <a:endParaRPr lang="en-US" sz="1200" b="1">
              <a:latin typeface="+mj-lt"/>
            </a:endParaRPr>
          </a:p>
        </c:rich>
      </c:tx>
      <c:layout>
        <c:manualLayout>
          <c:xMode val="edge"/>
          <c:yMode val="edge"/>
          <c:x val="0.23972972972972972"/>
          <c:y val="4.686584651435266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pieChart>
        <c:varyColors val="1"/>
        <c:ser>
          <c:idx val="0"/>
          <c:order val="0"/>
          <c:tx>
            <c:strRef>
              <c:f>'AI model performance summary'!$E$3</c:f>
              <c:strCache>
                <c:ptCount val="1"/>
                <c:pt idx="0">
                  <c:v>Avg Final Score</c:v>
                </c:pt>
              </c:strCache>
            </c:strRef>
          </c:tx>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1-8B16-4948-899F-E54FD3B479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16-4948-899F-E54FD3B479F1}"/>
              </c:ext>
            </c:extLst>
          </c:dPt>
          <c:dPt>
            <c:idx val="2"/>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5-8B16-4948-899F-E54FD3B479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'AI model performance summary'!$A$4:$A$6</c:f>
              <c:strCache>
                <c:ptCount val="3"/>
                <c:pt idx="0">
                  <c:v>ChatGPT-5</c:v>
                </c:pt>
                <c:pt idx="1">
                  <c:v>Claude</c:v>
                </c:pt>
                <c:pt idx="2">
                  <c:v>Copilot</c:v>
                </c:pt>
              </c:strCache>
            </c:strRef>
          </c:cat>
          <c:val>
            <c:numRef>
              <c:f>'AI model performance summary'!$E$4:$E$6</c:f>
              <c:numCache>
                <c:formatCode>0.0</c:formatCode>
                <c:ptCount val="3"/>
                <c:pt idx="0">
                  <c:v>1.9</c:v>
                </c:pt>
                <c:pt idx="1">
                  <c:v>2</c:v>
                </c:pt>
                <c:pt idx="2">
                  <c:v>1.9</c:v>
                </c:pt>
              </c:numCache>
            </c:numRef>
          </c:val>
          <c:extLst>
            <c:ext xmlns:c16="http://schemas.microsoft.com/office/drawing/2014/chart" uri="{C3380CC4-5D6E-409C-BE32-E72D297353CC}">
              <c16:uniqueId val="{00000006-8B16-4948-899F-E54FD3B479F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200"/>
              <a:t>Comparison of Error Type by Models</a:t>
            </a:r>
            <a:endParaRPr lang="en-NL"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tx>
            <c:strRef>
              <c:f>'AI model performance summary'!$A$10</c:f>
              <c:strCache>
                <c:ptCount val="1"/>
                <c:pt idx="0">
                  <c:v>ChatGPT-5</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model performance summary'!$B$9:$D$9</c:f>
              <c:strCache>
                <c:ptCount val="3"/>
                <c:pt idx="0">
                  <c:v>No error</c:v>
                </c:pt>
                <c:pt idx="1">
                  <c:v>Oversimplification</c:v>
                </c:pt>
                <c:pt idx="2">
                  <c:v>Misleading phrasing</c:v>
                </c:pt>
              </c:strCache>
            </c:strRef>
          </c:cat>
          <c:val>
            <c:numRef>
              <c:f>'AI model performance summary'!$B$10:$D$10</c:f>
              <c:numCache>
                <c:formatCode>General</c:formatCode>
                <c:ptCount val="3"/>
                <c:pt idx="0">
                  <c:v>9</c:v>
                </c:pt>
                <c:pt idx="1">
                  <c:v>1</c:v>
                </c:pt>
                <c:pt idx="2">
                  <c:v>0</c:v>
                </c:pt>
              </c:numCache>
            </c:numRef>
          </c:val>
          <c:extLst>
            <c:ext xmlns:c16="http://schemas.microsoft.com/office/drawing/2014/chart" uri="{C3380CC4-5D6E-409C-BE32-E72D297353CC}">
              <c16:uniqueId val="{00000000-A8EA-4134-A327-5B0E00B9D4E8}"/>
            </c:ext>
          </c:extLst>
        </c:ser>
        <c:ser>
          <c:idx val="1"/>
          <c:order val="1"/>
          <c:tx>
            <c:strRef>
              <c:f>'AI model performance summary'!$A$11</c:f>
              <c:strCache>
                <c:ptCount val="1"/>
                <c:pt idx="0">
                  <c:v>Claude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model performance summary'!$B$9:$D$9</c:f>
              <c:strCache>
                <c:ptCount val="3"/>
                <c:pt idx="0">
                  <c:v>No error</c:v>
                </c:pt>
                <c:pt idx="1">
                  <c:v>Oversimplification</c:v>
                </c:pt>
                <c:pt idx="2">
                  <c:v>Misleading phrasing</c:v>
                </c:pt>
              </c:strCache>
            </c:strRef>
          </c:cat>
          <c:val>
            <c:numRef>
              <c:f>'AI model performance summary'!$B$11:$D$11</c:f>
              <c:numCache>
                <c:formatCode>General</c:formatCode>
                <c:ptCount val="3"/>
                <c:pt idx="0">
                  <c:v>10</c:v>
                </c:pt>
                <c:pt idx="1">
                  <c:v>0</c:v>
                </c:pt>
                <c:pt idx="2">
                  <c:v>0</c:v>
                </c:pt>
              </c:numCache>
            </c:numRef>
          </c:val>
          <c:extLst>
            <c:ext xmlns:c16="http://schemas.microsoft.com/office/drawing/2014/chart" uri="{C3380CC4-5D6E-409C-BE32-E72D297353CC}">
              <c16:uniqueId val="{00000001-A8EA-4134-A327-5B0E00B9D4E8}"/>
            </c:ext>
          </c:extLst>
        </c:ser>
        <c:ser>
          <c:idx val="2"/>
          <c:order val="2"/>
          <c:tx>
            <c:strRef>
              <c:f>'AI model performance summary'!$A$12</c:f>
              <c:strCache>
                <c:ptCount val="1"/>
                <c:pt idx="0">
                  <c:v>Copilot</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 model performance summary'!$B$9:$D$9</c:f>
              <c:strCache>
                <c:ptCount val="3"/>
                <c:pt idx="0">
                  <c:v>No error</c:v>
                </c:pt>
                <c:pt idx="1">
                  <c:v>Oversimplification</c:v>
                </c:pt>
                <c:pt idx="2">
                  <c:v>Misleading phrasing</c:v>
                </c:pt>
              </c:strCache>
            </c:strRef>
          </c:cat>
          <c:val>
            <c:numRef>
              <c:f>'AI model performance summary'!$B$12:$D$12</c:f>
              <c:numCache>
                <c:formatCode>General</c:formatCode>
                <c:ptCount val="3"/>
                <c:pt idx="0">
                  <c:v>9</c:v>
                </c:pt>
                <c:pt idx="1">
                  <c:v>0</c:v>
                </c:pt>
                <c:pt idx="2">
                  <c:v>1</c:v>
                </c:pt>
              </c:numCache>
            </c:numRef>
          </c:val>
          <c:extLst>
            <c:ext xmlns:c16="http://schemas.microsoft.com/office/drawing/2014/chart" uri="{C3380CC4-5D6E-409C-BE32-E72D297353CC}">
              <c16:uniqueId val="{00000002-A8EA-4134-A327-5B0E00B9D4E8}"/>
            </c:ext>
          </c:extLst>
        </c:ser>
        <c:dLbls>
          <c:showLegendKey val="0"/>
          <c:showVal val="0"/>
          <c:showCatName val="0"/>
          <c:showSerName val="0"/>
          <c:showPercent val="0"/>
          <c:showBubbleSize val="0"/>
        </c:dLbls>
        <c:gapWidth val="100"/>
        <c:overlap val="-24"/>
        <c:axId val="132019343"/>
        <c:axId val="132026063"/>
      </c:barChart>
      <c:catAx>
        <c:axId val="1320193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32026063"/>
        <c:crosses val="autoZero"/>
        <c:auto val="1"/>
        <c:lblAlgn val="ctr"/>
        <c:lblOffset val="100"/>
        <c:noMultiLvlLbl val="0"/>
      </c:catAx>
      <c:valAx>
        <c:axId val="132026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32019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251460</xdr:colOff>
      <xdr:row>1</xdr:row>
      <xdr:rowOff>0</xdr:rowOff>
    </xdr:from>
    <xdr:to>
      <xdr:col>17</xdr:col>
      <xdr:colOff>548640</xdr:colOff>
      <xdr:row>12</xdr:row>
      <xdr:rowOff>129540</xdr:rowOff>
    </xdr:to>
    <xdr:sp macro="" textlink="">
      <xdr:nvSpPr>
        <xdr:cNvPr id="5" name="Rectangle 4">
          <a:extLst>
            <a:ext uri="{FF2B5EF4-FFF2-40B4-BE49-F238E27FC236}">
              <a16:creationId xmlns:a16="http://schemas.microsoft.com/office/drawing/2014/main" id="{99E5198A-5A92-A2CC-FAAA-2D0C4F751123}"/>
            </a:ext>
          </a:extLst>
        </xdr:cNvPr>
        <xdr:cNvSpPr/>
      </xdr:nvSpPr>
      <xdr:spPr>
        <a:xfrm>
          <a:off x="8785860" y="182880"/>
          <a:ext cx="2125980" cy="2141220"/>
        </a:xfrm>
        <a:prstGeom prst="rect">
          <a:avLst/>
        </a:prstGeom>
        <a:solidFill>
          <a:schemeClr val="accent2">
            <a:lumMod val="75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L" sz="1100"/>
        </a:p>
      </xdr:txBody>
    </xdr:sp>
    <xdr:clientData/>
  </xdr:twoCellAnchor>
  <xdr:twoCellAnchor>
    <xdr:from>
      <xdr:col>0</xdr:col>
      <xdr:colOff>83820</xdr:colOff>
      <xdr:row>1</xdr:row>
      <xdr:rowOff>15240</xdr:rowOff>
    </xdr:from>
    <xdr:to>
      <xdr:col>5</xdr:col>
      <xdr:colOff>129540</xdr:colOff>
      <xdr:row>12</xdr:row>
      <xdr:rowOff>163830</xdr:rowOff>
    </xdr:to>
    <xdr:graphicFrame macro="">
      <xdr:nvGraphicFramePr>
        <xdr:cNvPr id="2" name="Chart 1">
          <a:extLst>
            <a:ext uri="{FF2B5EF4-FFF2-40B4-BE49-F238E27FC236}">
              <a16:creationId xmlns:a16="http://schemas.microsoft.com/office/drawing/2014/main" id="{A0ADDBA4-369A-438D-AD0B-973E3DD3A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1</xdr:row>
      <xdr:rowOff>7620</xdr:rowOff>
    </xdr:from>
    <xdr:to>
      <xdr:col>9</xdr:col>
      <xdr:colOff>121920</xdr:colOff>
      <xdr:row>12</xdr:row>
      <xdr:rowOff>160020</xdr:rowOff>
    </xdr:to>
    <xdr:graphicFrame macro="">
      <xdr:nvGraphicFramePr>
        <xdr:cNvPr id="3" name="Chart 2">
          <a:extLst>
            <a:ext uri="{FF2B5EF4-FFF2-40B4-BE49-F238E27FC236}">
              <a16:creationId xmlns:a16="http://schemas.microsoft.com/office/drawing/2014/main" id="{565355D0-7E1D-4FBD-A6EE-7620805DA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167640</xdr:colOff>
      <xdr:row>0</xdr:row>
      <xdr:rowOff>175260</xdr:rowOff>
    </xdr:from>
    <xdr:to>
      <xdr:col>14</xdr:col>
      <xdr:colOff>182880</xdr:colOff>
      <xdr:row>12</xdr:row>
      <xdr:rowOff>160020</xdr:rowOff>
    </xdr:to>
    <xdr:graphicFrame macro="">
      <xdr:nvGraphicFramePr>
        <xdr:cNvPr id="4" name="Chart 3">
          <a:extLst>
            <a:ext uri="{FF2B5EF4-FFF2-40B4-BE49-F238E27FC236}">
              <a16:creationId xmlns:a16="http://schemas.microsoft.com/office/drawing/2014/main" id="{00C91487-0BC5-4D77-87F2-CA9512A62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571500</xdr:colOff>
      <xdr:row>1</xdr:row>
      <xdr:rowOff>76200</xdr:rowOff>
    </xdr:from>
    <xdr:to>
      <xdr:col>17</xdr:col>
      <xdr:colOff>297180</xdr:colOff>
      <xdr:row>2</xdr:row>
      <xdr:rowOff>91440</xdr:rowOff>
    </xdr:to>
    <xdr:sp macro="" textlink="">
      <xdr:nvSpPr>
        <xdr:cNvPr id="3073" name="Text Box 1">
          <a:extLst>
            <a:ext uri="{FF2B5EF4-FFF2-40B4-BE49-F238E27FC236}">
              <a16:creationId xmlns:a16="http://schemas.microsoft.com/office/drawing/2014/main" id="{B82E5DB1-4B98-7010-3FBA-AFD4EB1BB0B3}"/>
            </a:ext>
          </a:extLst>
        </xdr:cNvPr>
        <xdr:cNvSpPr txBox="1">
          <a:spLocks noChangeArrowheads="1"/>
        </xdr:cNvSpPr>
      </xdr:nvSpPr>
      <xdr:spPr bwMode="auto">
        <a:xfrm>
          <a:off x="9105900" y="259080"/>
          <a:ext cx="1554480" cy="1981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NL" sz="1100" b="0" i="0" u="none" strike="noStrike" baseline="0">
              <a:solidFill>
                <a:srgbClr val="000000"/>
              </a:solidFill>
              <a:latin typeface="Aptos Narrow"/>
            </a:rPr>
            <a:t>Model Reliability Summary</a:t>
          </a:r>
        </a:p>
      </xdr:txBody>
    </xdr:sp>
    <xdr:clientData/>
  </xdr:twoCellAnchor>
  <xdr:twoCellAnchor>
    <xdr:from>
      <xdr:col>14</xdr:col>
      <xdr:colOff>312420</xdr:colOff>
      <xdr:row>3</xdr:row>
      <xdr:rowOff>7620</xdr:rowOff>
    </xdr:from>
    <xdr:to>
      <xdr:col>17</xdr:col>
      <xdr:colOff>495300</xdr:colOff>
      <xdr:row>11</xdr:row>
      <xdr:rowOff>76200</xdr:rowOff>
    </xdr:to>
    <xdr:sp macro="" textlink="">
      <xdr:nvSpPr>
        <xdr:cNvPr id="3075" name="Text Box 3">
          <a:extLst>
            <a:ext uri="{FF2B5EF4-FFF2-40B4-BE49-F238E27FC236}">
              <a16:creationId xmlns:a16="http://schemas.microsoft.com/office/drawing/2014/main" id="{43B76D22-EC6B-AA7D-D07E-F7D9EB209827}"/>
            </a:ext>
          </a:extLst>
        </xdr:cNvPr>
        <xdr:cNvSpPr txBox="1">
          <a:spLocks noChangeArrowheads="1"/>
        </xdr:cNvSpPr>
      </xdr:nvSpPr>
      <xdr:spPr bwMode="auto">
        <a:xfrm>
          <a:off x="8846820" y="556260"/>
          <a:ext cx="2011680" cy="1531620"/>
        </a:xfrm>
        <a:prstGeom prst="rect">
          <a:avLst/>
        </a:prstGeom>
        <a:solidFill>
          <a:srgbClr val="FFFFFF"/>
        </a:solidFill>
        <a:ln w="9525">
          <a:noFill/>
          <a:miter lim="800000"/>
          <a:headEnd/>
          <a:tailEnd/>
        </a:ln>
      </xdr:spPr>
      <xdr:txBody>
        <a:bodyPr vertOverflow="clip" wrap="square" lIns="36576" tIns="32004" rIns="0" bIns="0" anchor="t" upright="1"/>
        <a:lstStyle/>
        <a:p>
          <a:pPr algn="l" rtl="0">
            <a:defRPr sz="1000"/>
          </a:pPr>
          <a:r>
            <a:rPr lang="en-NL" sz="1100" b="0" i="0" u="none" strike="noStrike" baseline="0">
              <a:solidFill>
                <a:srgbClr val="000000"/>
              </a:solidFill>
              <a:latin typeface="Aptos Narrow"/>
            </a:rPr>
            <a:t>• Most reliable overall: Claude</a:t>
          </a:r>
        </a:p>
        <a:p>
          <a:pPr algn="l" rtl="0">
            <a:defRPr sz="1000"/>
          </a:pPr>
          <a:r>
            <a:rPr lang="en-NL" sz="1100" b="0" i="0" u="none" strike="noStrike" baseline="0">
              <a:solidFill>
                <a:srgbClr val="000000"/>
              </a:solidFill>
              <a:latin typeface="Aptos Narrow"/>
            </a:rPr>
            <a:t>• Risk of misconception: Copilot (rare)</a:t>
          </a:r>
        </a:p>
        <a:p>
          <a:pPr algn="l" rtl="0">
            <a:defRPr sz="1000"/>
          </a:pPr>
          <a:r>
            <a:rPr lang="en-NL" sz="1100" b="0" i="0" u="none" strike="noStrike" baseline="0">
              <a:solidFill>
                <a:srgbClr val="000000"/>
              </a:solidFill>
              <a:latin typeface="Aptos Narrow"/>
            </a:rPr>
            <a:t>• Needs prompting for detail: ChatGPT-5</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3884D-1694-42F8-893E-475AD91816DC}">
  <dimension ref="A1:M62"/>
  <sheetViews>
    <sheetView tabSelected="1" zoomScale="85" zoomScaleNormal="85" workbookViewId="0">
      <selection activeCell="D19" sqref="D19"/>
    </sheetView>
  </sheetViews>
  <sheetFormatPr defaultRowHeight="14.4" x14ac:dyDescent="0.3"/>
  <cols>
    <col min="1" max="1" width="13" bestFit="1" customWidth="1"/>
    <col min="2" max="2" width="32.21875" bestFit="1" customWidth="1"/>
    <col min="3" max="3" width="24.44140625" customWidth="1"/>
    <col min="4" max="4" width="10.21875" customWidth="1"/>
    <col min="5" max="5" width="58.5546875" customWidth="1"/>
    <col min="6" max="6" width="9.33203125" customWidth="1"/>
    <col min="7" max="7" width="8.6640625" customWidth="1"/>
    <col min="8" max="8" width="13.21875" customWidth="1"/>
    <col min="9" max="9" width="9.33203125" customWidth="1"/>
    <col min="10" max="10" width="31.21875" customWidth="1"/>
    <col min="11" max="11" width="21.77734375" customWidth="1"/>
    <col min="12" max="12" width="36" customWidth="1"/>
    <col min="13" max="13" width="14.6640625" customWidth="1"/>
  </cols>
  <sheetData>
    <row r="1" spans="1:12" ht="31.8" customHeight="1" x14ac:dyDescent="0.6">
      <c r="A1" s="18" t="s">
        <v>157</v>
      </c>
    </row>
    <row r="2" spans="1:12" ht="14.4" customHeight="1" x14ac:dyDescent="0.45">
      <c r="A2" s="14"/>
    </row>
    <row r="3" spans="1:12" ht="14.4" customHeight="1" x14ac:dyDescent="0.3">
      <c r="A3" s="15" t="s">
        <v>151</v>
      </c>
    </row>
    <row r="4" spans="1:12" ht="14.4" customHeight="1" x14ac:dyDescent="0.3">
      <c r="A4" s="15" t="s">
        <v>152</v>
      </c>
    </row>
    <row r="5" spans="1:12" ht="14.4" customHeight="1" x14ac:dyDescent="0.3">
      <c r="A5" s="15"/>
    </row>
    <row r="6" spans="1:12" ht="14.4" customHeight="1" x14ac:dyDescent="0.3">
      <c r="A6" s="63" t="s">
        <v>137</v>
      </c>
      <c r="B6" s="62"/>
      <c r="C6" s="16"/>
      <c r="D6" s="16"/>
      <c r="E6" s="16"/>
      <c r="F6" s="16"/>
      <c r="G6" s="16"/>
      <c r="H6" s="16"/>
      <c r="I6" s="16"/>
      <c r="J6" s="16"/>
      <c r="K6" s="16"/>
      <c r="L6" s="16"/>
    </row>
    <row r="7" spans="1:12" ht="14.4" customHeight="1" x14ac:dyDescent="0.3">
      <c r="A7" s="64" t="s">
        <v>153</v>
      </c>
    </row>
    <row r="8" spans="1:12" ht="14.4" customHeight="1" x14ac:dyDescent="0.3">
      <c r="A8" s="64" t="s">
        <v>154</v>
      </c>
    </row>
    <row r="9" spans="1:12" ht="15.6" customHeight="1" x14ac:dyDescent="0.3">
      <c r="A9" s="64" t="s">
        <v>155</v>
      </c>
    </row>
    <row r="10" spans="1:12" ht="15.6" customHeight="1" x14ac:dyDescent="0.3"/>
    <row r="11" spans="1:12" x14ac:dyDescent="0.3">
      <c r="A11" s="76" t="s">
        <v>91</v>
      </c>
      <c r="B11" s="65"/>
      <c r="C11" s="65"/>
      <c r="D11" s="65"/>
    </row>
    <row r="12" spans="1:12" x14ac:dyDescent="0.3">
      <c r="A12" s="76"/>
      <c r="B12" s="65"/>
      <c r="C12" s="65"/>
      <c r="D12" s="65"/>
    </row>
    <row r="13" spans="1:12" x14ac:dyDescent="0.3">
      <c r="A13" s="77" t="s">
        <v>138</v>
      </c>
      <c r="B13" s="65"/>
      <c r="C13" s="65"/>
      <c r="D13" s="65"/>
    </row>
    <row r="14" spans="1:12" ht="4.2" customHeight="1" x14ac:dyDescent="0.3">
      <c r="A14" s="77"/>
      <c r="B14" s="65"/>
      <c r="C14" s="65"/>
      <c r="D14" s="65"/>
    </row>
    <row r="15" spans="1:12" ht="19.8" customHeight="1" x14ac:dyDescent="0.3">
      <c r="A15" s="66" t="s">
        <v>139</v>
      </c>
      <c r="B15" s="66" t="s">
        <v>140</v>
      </c>
      <c r="C15" s="65"/>
      <c r="D15" s="65"/>
    </row>
    <row r="16" spans="1:12" ht="16.2" customHeight="1" x14ac:dyDescent="0.3">
      <c r="A16" s="67">
        <v>1</v>
      </c>
      <c r="B16" s="68" t="s">
        <v>141</v>
      </c>
      <c r="C16" s="69"/>
      <c r="D16" s="65"/>
    </row>
    <row r="17" spans="1:13" ht="16.2" customHeight="1" x14ac:dyDescent="0.3">
      <c r="A17" s="67">
        <v>2</v>
      </c>
      <c r="B17" s="68" t="s">
        <v>142</v>
      </c>
      <c r="C17" s="65"/>
      <c r="D17" s="65"/>
    </row>
    <row r="18" spans="1:13" ht="16.2" customHeight="1" x14ac:dyDescent="0.3">
      <c r="A18" s="67">
        <v>3</v>
      </c>
      <c r="B18" s="68" t="s">
        <v>143</v>
      </c>
      <c r="C18" s="65"/>
      <c r="D18" s="65"/>
    </row>
    <row r="19" spans="1:13" ht="16.2" customHeight="1" x14ac:dyDescent="0.3">
      <c r="A19" s="67">
        <v>4</v>
      </c>
      <c r="B19" s="68" t="s">
        <v>144</v>
      </c>
      <c r="C19" s="65"/>
      <c r="D19" s="65"/>
    </row>
    <row r="20" spans="1:13" ht="16.2" customHeight="1" x14ac:dyDescent="0.3">
      <c r="A20" s="67">
        <v>5</v>
      </c>
      <c r="B20" s="68" t="s">
        <v>145</v>
      </c>
      <c r="C20" s="65"/>
      <c r="D20" s="65"/>
    </row>
    <row r="21" spans="1:13" x14ac:dyDescent="0.3">
      <c r="A21" s="65"/>
      <c r="B21" s="65"/>
      <c r="C21" s="65"/>
      <c r="D21" s="65"/>
    </row>
    <row r="22" spans="1:13" x14ac:dyDescent="0.3">
      <c r="A22" s="70" t="s">
        <v>146</v>
      </c>
      <c r="B22" s="65"/>
      <c r="C22" s="65"/>
      <c r="D22" s="65"/>
    </row>
    <row r="23" spans="1:13" ht="5.4" customHeight="1" x14ac:dyDescent="0.3">
      <c r="A23" s="70"/>
      <c r="B23" s="65"/>
      <c r="C23" s="65"/>
      <c r="D23" s="65"/>
    </row>
    <row r="24" spans="1:13" x14ac:dyDescent="0.3">
      <c r="A24" s="71" t="s">
        <v>147</v>
      </c>
      <c r="B24" s="71" t="s">
        <v>140</v>
      </c>
      <c r="C24" s="65"/>
      <c r="D24" s="65"/>
    </row>
    <row r="25" spans="1:13" ht="16.2" customHeight="1" x14ac:dyDescent="0.3">
      <c r="A25" s="71">
        <v>2</v>
      </c>
      <c r="B25" s="72" t="s">
        <v>148</v>
      </c>
      <c r="C25" s="65"/>
      <c r="D25" s="65"/>
    </row>
    <row r="26" spans="1:13" ht="38.4" customHeight="1" x14ac:dyDescent="0.3">
      <c r="A26" s="73">
        <v>1</v>
      </c>
      <c r="B26" s="74" t="s">
        <v>149</v>
      </c>
      <c r="C26" s="65"/>
      <c r="D26" s="65"/>
    </row>
    <row r="27" spans="1:13" ht="16.2" customHeight="1" x14ac:dyDescent="0.3">
      <c r="A27" s="71">
        <v>0</v>
      </c>
      <c r="B27" s="72" t="s">
        <v>150</v>
      </c>
      <c r="C27" s="65"/>
      <c r="D27" s="65"/>
    </row>
    <row r="28" spans="1:13" x14ac:dyDescent="0.3">
      <c r="A28" s="75"/>
      <c r="B28" s="65"/>
      <c r="C28" s="65"/>
      <c r="D28" s="65"/>
    </row>
    <row r="29" spans="1:13" ht="18.600000000000001" customHeight="1" x14ac:dyDescent="0.3">
      <c r="A29" s="78" t="s">
        <v>156</v>
      </c>
      <c r="B29" s="78"/>
      <c r="C29" s="78"/>
      <c r="D29" s="78"/>
    </row>
    <row r="30" spans="1:13" x14ac:dyDescent="0.3">
      <c r="A30" s="17"/>
    </row>
    <row r="31" spans="1:13" ht="29.4" thickBot="1" x14ac:dyDescent="0.35">
      <c r="A31" s="4" t="s">
        <v>5</v>
      </c>
      <c r="B31" s="4" t="s">
        <v>45</v>
      </c>
      <c r="C31" s="4" t="s">
        <v>13</v>
      </c>
      <c r="D31" s="4" t="s">
        <v>0</v>
      </c>
      <c r="E31" s="4" t="s">
        <v>1</v>
      </c>
      <c r="F31" s="4" t="s">
        <v>86</v>
      </c>
      <c r="G31" s="4" t="s">
        <v>47</v>
      </c>
      <c r="H31" s="4" t="s">
        <v>48</v>
      </c>
      <c r="I31" s="4" t="s">
        <v>2</v>
      </c>
      <c r="J31" s="4" t="s">
        <v>51</v>
      </c>
      <c r="K31" s="4" t="s">
        <v>44</v>
      </c>
      <c r="L31" s="4" t="s">
        <v>3</v>
      </c>
      <c r="M31" s="4" t="s">
        <v>120</v>
      </c>
    </row>
    <row r="32" spans="1:13" ht="141" customHeight="1" thickBot="1" x14ac:dyDescent="0.35">
      <c r="A32" s="80">
        <v>1</v>
      </c>
      <c r="B32" s="79" t="s">
        <v>50</v>
      </c>
      <c r="C32" s="79" t="s">
        <v>88</v>
      </c>
      <c r="D32" s="5" t="s">
        <v>90</v>
      </c>
      <c r="E32" s="28" t="s">
        <v>25</v>
      </c>
      <c r="F32" s="6">
        <v>5</v>
      </c>
      <c r="G32" s="6">
        <v>5</v>
      </c>
      <c r="H32" s="6">
        <v>4</v>
      </c>
      <c r="I32" s="6">
        <v>2</v>
      </c>
      <c r="J32" s="28" t="s">
        <v>66</v>
      </c>
      <c r="K32" s="27" t="s">
        <v>92</v>
      </c>
      <c r="L32" s="27" t="s">
        <v>122</v>
      </c>
      <c r="M32" s="12" t="s">
        <v>121</v>
      </c>
    </row>
    <row r="33" spans="1:13" ht="60.6" customHeight="1" thickBot="1" x14ac:dyDescent="0.35">
      <c r="A33" s="80"/>
      <c r="B33" s="79"/>
      <c r="C33" s="79"/>
      <c r="D33" s="2" t="s">
        <v>4</v>
      </c>
      <c r="E33" s="20" t="s">
        <v>34</v>
      </c>
      <c r="F33" s="3">
        <v>5</v>
      </c>
      <c r="G33" s="3">
        <v>5</v>
      </c>
      <c r="H33" s="3">
        <v>5</v>
      </c>
      <c r="I33" s="3">
        <v>2</v>
      </c>
      <c r="J33" s="29" t="s">
        <v>67</v>
      </c>
      <c r="K33" s="3" t="s">
        <v>93</v>
      </c>
      <c r="L33" s="20" t="s">
        <v>99</v>
      </c>
      <c r="M33" s="3" t="s">
        <v>121</v>
      </c>
    </row>
    <row r="34" spans="1:13" ht="189.6" customHeight="1" thickBot="1" x14ac:dyDescent="0.35">
      <c r="A34" s="80"/>
      <c r="B34" s="79"/>
      <c r="C34" s="79"/>
      <c r="D34" s="7" t="s">
        <v>46</v>
      </c>
      <c r="E34" s="21" t="s">
        <v>49</v>
      </c>
      <c r="F34" s="8">
        <v>4</v>
      </c>
      <c r="G34" s="8">
        <v>4</v>
      </c>
      <c r="H34" s="8">
        <v>4</v>
      </c>
      <c r="I34" s="8">
        <v>1</v>
      </c>
      <c r="J34" s="30" t="s">
        <v>52</v>
      </c>
      <c r="K34" s="30" t="s">
        <v>87</v>
      </c>
      <c r="L34" s="8" t="s">
        <v>125</v>
      </c>
      <c r="M34" s="8" t="s">
        <v>108</v>
      </c>
    </row>
    <row r="35" spans="1:13" ht="148.80000000000001" customHeight="1" thickBot="1" x14ac:dyDescent="0.35">
      <c r="A35" s="80">
        <v>2</v>
      </c>
      <c r="B35" s="79" t="s">
        <v>23</v>
      </c>
      <c r="C35" s="79" t="s">
        <v>14</v>
      </c>
      <c r="D35" s="5" t="s">
        <v>90</v>
      </c>
      <c r="E35" s="28" t="s">
        <v>54</v>
      </c>
      <c r="F35" s="6">
        <v>5</v>
      </c>
      <c r="G35" s="6">
        <v>5</v>
      </c>
      <c r="H35" s="6">
        <v>5</v>
      </c>
      <c r="I35" s="6">
        <v>2</v>
      </c>
      <c r="J35" s="19" t="s">
        <v>68</v>
      </c>
      <c r="K35" s="28" t="s">
        <v>94</v>
      </c>
      <c r="L35" s="27" t="s">
        <v>119</v>
      </c>
      <c r="M35" s="12" t="s">
        <v>121</v>
      </c>
    </row>
    <row r="36" spans="1:13" ht="67.2" customHeight="1" thickBot="1" x14ac:dyDescent="0.35">
      <c r="A36" s="80"/>
      <c r="B36" s="79"/>
      <c r="C36" s="79"/>
      <c r="D36" s="2" t="s">
        <v>4</v>
      </c>
      <c r="E36" s="20" t="s">
        <v>35</v>
      </c>
      <c r="F36" s="3">
        <v>5</v>
      </c>
      <c r="G36" s="3">
        <v>5</v>
      </c>
      <c r="H36" s="3">
        <v>5</v>
      </c>
      <c r="I36" s="3">
        <v>2</v>
      </c>
      <c r="J36" s="29" t="s">
        <v>69</v>
      </c>
      <c r="K36" s="3" t="s">
        <v>93</v>
      </c>
      <c r="L36" s="20" t="s">
        <v>100</v>
      </c>
      <c r="M36" s="3" t="s">
        <v>121</v>
      </c>
    </row>
    <row r="37" spans="1:13" ht="193.8" customHeight="1" thickBot="1" x14ac:dyDescent="0.35">
      <c r="A37" s="80"/>
      <c r="B37" s="79"/>
      <c r="C37" s="79"/>
      <c r="D37" s="7" t="s">
        <v>46</v>
      </c>
      <c r="E37" s="21" t="s">
        <v>53</v>
      </c>
      <c r="F37" s="8">
        <v>5</v>
      </c>
      <c r="G37" s="8">
        <v>5</v>
      </c>
      <c r="H37" s="8">
        <v>5</v>
      </c>
      <c r="I37" s="8">
        <v>2</v>
      </c>
      <c r="J37" s="19" t="s">
        <v>70</v>
      </c>
      <c r="K37" s="8" t="s">
        <v>93</v>
      </c>
      <c r="L37" s="8" t="s">
        <v>125</v>
      </c>
      <c r="M37" s="8" t="s">
        <v>121</v>
      </c>
    </row>
    <row r="38" spans="1:13" ht="111.6" customHeight="1" thickBot="1" x14ac:dyDescent="0.35">
      <c r="A38" s="80">
        <v>3</v>
      </c>
      <c r="B38" s="79" t="s">
        <v>6</v>
      </c>
      <c r="C38" s="79" t="s">
        <v>15</v>
      </c>
      <c r="D38" s="5" t="s">
        <v>90</v>
      </c>
      <c r="E38" s="28" t="s">
        <v>26</v>
      </c>
      <c r="F38" s="6">
        <v>5</v>
      </c>
      <c r="G38" s="6">
        <v>5</v>
      </c>
      <c r="H38" s="6">
        <v>5</v>
      </c>
      <c r="I38" s="6">
        <v>2</v>
      </c>
      <c r="J38" s="28" t="s">
        <v>63</v>
      </c>
      <c r="K38" s="6" t="s">
        <v>93</v>
      </c>
      <c r="L38" s="27" t="s">
        <v>102</v>
      </c>
      <c r="M38" s="12" t="s">
        <v>121</v>
      </c>
    </row>
    <row r="39" spans="1:13" ht="72.599999999999994" thickBot="1" x14ac:dyDescent="0.35">
      <c r="A39" s="80"/>
      <c r="B39" s="79"/>
      <c r="C39" s="79"/>
      <c r="D39" s="2" t="s">
        <v>4</v>
      </c>
      <c r="E39" s="20" t="s">
        <v>36</v>
      </c>
      <c r="F39" s="3">
        <v>5</v>
      </c>
      <c r="G39" s="3">
        <v>5</v>
      </c>
      <c r="H39" s="3">
        <v>5</v>
      </c>
      <c r="I39" s="3">
        <v>2</v>
      </c>
      <c r="J39" s="29" t="s">
        <v>71</v>
      </c>
      <c r="K39" s="3" t="s">
        <v>93</v>
      </c>
      <c r="L39" s="44" t="s">
        <v>125</v>
      </c>
      <c r="M39" s="44" t="s">
        <v>121</v>
      </c>
    </row>
    <row r="40" spans="1:13" ht="240.6" customHeight="1" thickBot="1" x14ac:dyDescent="0.35">
      <c r="A40" s="80"/>
      <c r="B40" s="79"/>
      <c r="C40" s="79"/>
      <c r="D40" s="7" t="s">
        <v>46</v>
      </c>
      <c r="E40" s="21" t="s">
        <v>55</v>
      </c>
      <c r="F40" s="8">
        <v>5</v>
      </c>
      <c r="G40" s="8">
        <v>5</v>
      </c>
      <c r="H40" s="8">
        <v>5</v>
      </c>
      <c r="I40" s="8">
        <v>2</v>
      </c>
      <c r="J40" s="30" t="s">
        <v>72</v>
      </c>
      <c r="K40" s="8" t="s">
        <v>93</v>
      </c>
      <c r="L40" s="45" t="s">
        <v>125</v>
      </c>
      <c r="M40" s="45" t="s">
        <v>121</v>
      </c>
    </row>
    <row r="41" spans="1:13" ht="127.8" customHeight="1" thickBot="1" x14ac:dyDescent="0.35">
      <c r="A41" s="80">
        <v>4</v>
      </c>
      <c r="B41" s="79" t="s">
        <v>7</v>
      </c>
      <c r="C41" s="79" t="s">
        <v>16</v>
      </c>
      <c r="D41" s="5" t="s">
        <v>90</v>
      </c>
      <c r="E41" s="28" t="s">
        <v>27</v>
      </c>
      <c r="F41" s="11">
        <v>5</v>
      </c>
      <c r="G41" s="11">
        <v>5</v>
      </c>
      <c r="H41" s="11">
        <v>5</v>
      </c>
      <c r="I41" s="3">
        <v>2</v>
      </c>
      <c r="J41" s="31" t="s">
        <v>63</v>
      </c>
      <c r="K41" s="6" t="s">
        <v>93</v>
      </c>
      <c r="L41" s="27" t="s">
        <v>103</v>
      </c>
      <c r="M41" s="12" t="s">
        <v>121</v>
      </c>
    </row>
    <row r="42" spans="1:13" ht="144.6" thickBot="1" x14ac:dyDescent="0.35">
      <c r="A42" s="80"/>
      <c r="B42" s="79"/>
      <c r="C42" s="79"/>
      <c r="D42" s="2" t="s">
        <v>4</v>
      </c>
      <c r="E42" s="22" t="s">
        <v>37</v>
      </c>
      <c r="F42" s="3">
        <v>5</v>
      </c>
      <c r="G42" s="3">
        <v>5</v>
      </c>
      <c r="H42" s="3">
        <v>5</v>
      </c>
      <c r="I42" s="3">
        <v>2</v>
      </c>
      <c r="J42" s="29" t="s">
        <v>73</v>
      </c>
      <c r="K42" s="3" t="s">
        <v>93</v>
      </c>
      <c r="L42" s="29" t="s">
        <v>104</v>
      </c>
      <c r="M42" s="3" t="s">
        <v>121</v>
      </c>
    </row>
    <row r="43" spans="1:13" ht="101.4" thickBot="1" x14ac:dyDescent="0.35">
      <c r="A43" s="80"/>
      <c r="B43" s="79"/>
      <c r="C43" s="79"/>
      <c r="D43" s="7" t="s">
        <v>46</v>
      </c>
      <c r="E43" s="22" t="s">
        <v>56</v>
      </c>
      <c r="F43" s="13">
        <v>5</v>
      </c>
      <c r="G43" s="13">
        <v>5</v>
      </c>
      <c r="H43" s="13">
        <v>5</v>
      </c>
      <c r="I43" s="10">
        <v>2</v>
      </c>
      <c r="J43" s="30" t="s">
        <v>74</v>
      </c>
      <c r="K43" s="8" t="s">
        <v>93</v>
      </c>
      <c r="L43" s="46" t="s">
        <v>125</v>
      </c>
      <c r="M43" s="46" t="s">
        <v>121</v>
      </c>
    </row>
    <row r="44" spans="1:13" ht="119.4" customHeight="1" thickBot="1" x14ac:dyDescent="0.35">
      <c r="A44" s="80">
        <v>5</v>
      </c>
      <c r="B44" s="79" t="s">
        <v>8</v>
      </c>
      <c r="C44" s="79" t="s">
        <v>17</v>
      </c>
      <c r="D44" s="5" t="s">
        <v>90</v>
      </c>
      <c r="E44" s="28" t="s">
        <v>28</v>
      </c>
      <c r="F44" s="12">
        <v>5</v>
      </c>
      <c r="G44" s="12">
        <v>5</v>
      </c>
      <c r="H44" s="12">
        <v>5</v>
      </c>
      <c r="I44" s="9">
        <v>2</v>
      </c>
      <c r="J44" s="31" t="s">
        <v>63</v>
      </c>
      <c r="K44" s="6" t="s">
        <v>93</v>
      </c>
      <c r="L44" s="28" t="s">
        <v>105</v>
      </c>
      <c r="M44" s="6" t="s">
        <v>121</v>
      </c>
    </row>
    <row r="45" spans="1:13" ht="84" customHeight="1" thickBot="1" x14ac:dyDescent="0.35">
      <c r="A45" s="80"/>
      <c r="B45" s="79"/>
      <c r="C45" s="79"/>
      <c r="D45" s="2" t="s">
        <v>4</v>
      </c>
      <c r="E45" s="22" t="s">
        <v>38</v>
      </c>
      <c r="F45" s="3">
        <v>5</v>
      </c>
      <c r="G45" s="3">
        <v>5</v>
      </c>
      <c r="H45" s="3">
        <v>5</v>
      </c>
      <c r="I45" s="3">
        <v>2</v>
      </c>
      <c r="J45" s="29" t="s">
        <v>75</v>
      </c>
      <c r="K45" s="3" t="s">
        <v>93</v>
      </c>
      <c r="L45" s="44" t="s">
        <v>125</v>
      </c>
      <c r="M45" s="44" t="s">
        <v>121</v>
      </c>
    </row>
    <row r="46" spans="1:13" ht="168.6" customHeight="1" thickBot="1" x14ac:dyDescent="0.35">
      <c r="A46" s="80"/>
      <c r="B46" s="79"/>
      <c r="C46" s="79"/>
      <c r="D46" s="7" t="s">
        <v>46</v>
      </c>
      <c r="E46" s="23" t="s">
        <v>57</v>
      </c>
      <c r="F46" s="11">
        <v>5</v>
      </c>
      <c r="G46" s="11">
        <v>5</v>
      </c>
      <c r="H46" s="11">
        <v>5</v>
      </c>
      <c r="I46" s="11">
        <v>2</v>
      </c>
      <c r="J46" s="31" t="s">
        <v>76</v>
      </c>
      <c r="K46" s="8" t="s">
        <v>93</v>
      </c>
      <c r="L46" s="46" t="s">
        <v>125</v>
      </c>
      <c r="M46" s="46" t="s">
        <v>121</v>
      </c>
    </row>
    <row r="47" spans="1:13" ht="127.8" customHeight="1" thickBot="1" x14ac:dyDescent="0.35">
      <c r="A47" s="80">
        <v>6</v>
      </c>
      <c r="B47" s="79" t="s">
        <v>9</v>
      </c>
      <c r="C47" s="79" t="s">
        <v>18</v>
      </c>
      <c r="D47" s="5" t="s">
        <v>90</v>
      </c>
      <c r="E47" s="27" t="s">
        <v>29</v>
      </c>
      <c r="F47" s="12">
        <v>5</v>
      </c>
      <c r="G47" s="12">
        <v>5</v>
      </c>
      <c r="H47" s="12">
        <v>5</v>
      </c>
      <c r="I47" s="12">
        <v>2</v>
      </c>
      <c r="J47" s="28" t="s">
        <v>77</v>
      </c>
      <c r="K47" s="28" t="s">
        <v>95</v>
      </c>
      <c r="L47" s="28" t="s">
        <v>123</v>
      </c>
      <c r="M47" s="6" t="s">
        <v>121</v>
      </c>
    </row>
    <row r="48" spans="1:13" ht="79.8" customHeight="1" thickBot="1" x14ac:dyDescent="0.35">
      <c r="A48" s="80"/>
      <c r="B48" s="79"/>
      <c r="C48" s="79"/>
      <c r="D48" s="2" t="s">
        <v>4</v>
      </c>
      <c r="E48" s="20" t="s">
        <v>39</v>
      </c>
      <c r="F48" s="3">
        <v>5</v>
      </c>
      <c r="G48" s="3">
        <v>5</v>
      </c>
      <c r="H48" s="3">
        <v>5</v>
      </c>
      <c r="I48" s="3">
        <v>2</v>
      </c>
      <c r="J48" s="29" t="s">
        <v>78</v>
      </c>
      <c r="K48" s="29" t="s">
        <v>95</v>
      </c>
      <c r="L48" s="44" t="s">
        <v>125</v>
      </c>
      <c r="M48" s="44" t="s">
        <v>121</v>
      </c>
    </row>
    <row r="49" spans="1:13" ht="187.2" customHeight="1" thickBot="1" x14ac:dyDescent="0.35">
      <c r="A49" s="80"/>
      <c r="B49" s="79"/>
      <c r="C49" s="79"/>
      <c r="D49" s="7" t="s">
        <v>46</v>
      </c>
      <c r="E49" s="25" t="s">
        <v>58</v>
      </c>
      <c r="F49" s="11">
        <v>5</v>
      </c>
      <c r="G49" s="11">
        <v>5</v>
      </c>
      <c r="H49" s="11">
        <v>5</v>
      </c>
      <c r="I49" s="11">
        <v>2</v>
      </c>
      <c r="J49" s="31" t="s">
        <v>79</v>
      </c>
      <c r="K49" s="8" t="s">
        <v>93</v>
      </c>
      <c r="L49" s="46" t="s">
        <v>125</v>
      </c>
      <c r="M49" s="46" t="s">
        <v>121</v>
      </c>
    </row>
    <row r="50" spans="1:13" ht="72.599999999999994" thickBot="1" x14ac:dyDescent="0.35">
      <c r="A50" s="80">
        <v>7</v>
      </c>
      <c r="B50" s="79" t="s">
        <v>10</v>
      </c>
      <c r="C50" s="79" t="s">
        <v>19</v>
      </c>
      <c r="D50" s="5" t="s">
        <v>90</v>
      </c>
      <c r="E50" s="28" t="s">
        <v>30</v>
      </c>
      <c r="F50" s="6">
        <v>5</v>
      </c>
      <c r="G50" s="6">
        <v>5</v>
      </c>
      <c r="H50" s="6">
        <v>4</v>
      </c>
      <c r="I50" s="12">
        <v>2</v>
      </c>
      <c r="J50" s="28" t="s">
        <v>84</v>
      </c>
      <c r="K50" s="28" t="s">
        <v>96</v>
      </c>
      <c r="L50" s="28" t="s">
        <v>106</v>
      </c>
      <c r="M50" s="6" t="s">
        <v>121</v>
      </c>
    </row>
    <row r="51" spans="1:13" ht="87" thickBot="1" x14ac:dyDescent="0.35">
      <c r="A51" s="80"/>
      <c r="B51" s="79"/>
      <c r="C51" s="79"/>
      <c r="D51" s="2" t="s">
        <v>4</v>
      </c>
      <c r="E51" s="22" t="s">
        <v>40</v>
      </c>
      <c r="F51" s="3">
        <v>5</v>
      </c>
      <c r="G51" s="3">
        <v>5</v>
      </c>
      <c r="H51" s="3">
        <v>5</v>
      </c>
      <c r="I51" s="3">
        <v>2</v>
      </c>
      <c r="J51" s="29" t="s">
        <v>80</v>
      </c>
      <c r="K51" s="3" t="s">
        <v>93</v>
      </c>
      <c r="L51" s="3" t="s">
        <v>125</v>
      </c>
      <c r="M51" s="3" t="s">
        <v>121</v>
      </c>
    </row>
    <row r="52" spans="1:13" ht="144.6" thickBot="1" x14ac:dyDescent="0.35">
      <c r="A52" s="80"/>
      <c r="B52" s="79"/>
      <c r="C52" s="79"/>
      <c r="D52" s="7" t="s">
        <v>46</v>
      </c>
      <c r="E52" s="22" t="s">
        <v>59</v>
      </c>
      <c r="F52" s="11">
        <v>5</v>
      </c>
      <c r="G52" s="11">
        <v>5</v>
      </c>
      <c r="H52" s="11">
        <v>5</v>
      </c>
      <c r="I52" s="11">
        <v>2</v>
      </c>
      <c r="J52" s="31" t="s">
        <v>76</v>
      </c>
      <c r="K52" s="8" t="s">
        <v>93</v>
      </c>
      <c r="L52" s="46" t="s">
        <v>125</v>
      </c>
      <c r="M52" s="46" t="s">
        <v>121</v>
      </c>
    </row>
    <row r="53" spans="1:13" ht="101.4" thickBot="1" x14ac:dyDescent="0.35">
      <c r="A53" s="80">
        <v>8</v>
      </c>
      <c r="B53" s="79" t="s">
        <v>11</v>
      </c>
      <c r="C53" s="79" t="s">
        <v>20</v>
      </c>
      <c r="D53" s="5" t="s">
        <v>90</v>
      </c>
      <c r="E53" s="27" t="s">
        <v>31</v>
      </c>
      <c r="F53" s="12">
        <v>5</v>
      </c>
      <c r="G53" s="12">
        <v>5</v>
      </c>
      <c r="H53" s="12">
        <v>4</v>
      </c>
      <c r="I53" s="12">
        <v>2</v>
      </c>
      <c r="J53" s="28" t="s">
        <v>115</v>
      </c>
      <c r="K53" s="28" t="s">
        <v>116</v>
      </c>
      <c r="L53" s="28" t="s">
        <v>107</v>
      </c>
      <c r="M53" s="6" t="s">
        <v>121</v>
      </c>
    </row>
    <row r="54" spans="1:13" ht="55.8" customHeight="1" thickBot="1" x14ac:dyDescent="0.35">
      <c r="A54" s="80"/>
      <c r="B54" s="79"/>
      <c r="C54" s="79"/>
      <c r="D54" s="2" t="s">
        <v>4</v>
      </c>
      <c r="E54" s="25" t="s">
        <v>41</v>
      </c>
      <c r="F54" s="11">
        <v>5</v>
      </c>
      <c r="G54" s="11">
        <v>5</v>
      </c>
      <c r="H54" s="11">
        <v>5</v>
      </c>
      <c r="I54" s="3">
        <v>2</v>
      </c>
      <c r="J54" s="29" t="s">
        <v>81</v>
      </c>
      <c r="K54" s="3" t="s">
        <v>93</v>
      </c>
      <c r="L54" s="44" t="s">
        <v>125</v>
      </c>
      <c r="M54" s="44" t="s">
        <v>121</v>
      </c>
    </row>
    <row r="55" spans="1:13" ht="156" customHeight="1" thickBot="1" x14ac:dyDescent="0.35">
      <c r="A55" s="80"/>
      <c r="B55" s="79"/>
      <c r="C55" s="79"/>
      <c r="D55" s="7" t="s">
        <v>46</v>
      </c>
      <c r="E55" s="26" t="s">
        <v>60</v>
      </c>
      <c r="F55" s="10">
        <v>5</v>
      </c>
      <c r="G55" s="10">
        <v>5</v>
      </c>
      <c r="H55" s="10">
        <v>5</v>
      </c>
      <c r="I55" s="11">
        <v>2</v>
      </c>
      <c r="J55" s="31" t="s">
        <v>82</v>
      </c>
      <c r="K55" s="8" t="s">
        <v>97</v>
      </c>
      <c r="L55" s="46" t="s">
        <v>125</v>
      </c>
      <c r="M55" s="46" t="s">
        <v>121</v>
      </c>
    </row>
    <row r="56" spans="1:13" ht="101.4" thickBot="1" x14ac:dyDescent="0.35">
      <c r="A56" s="80">
        <v>9</v>
      </c>
      <c r="B56" s="79" t="s">
        <v>24</v>
      </c>
      <c r="C56" s="79" t="s">
        <v>21</v>
      </c>
      <c r="D56" s="5" t="s">
        <v>90</v>
      </c>
      <c r="E56" s="28" t="s">
        <v>32</v>
      </c>
      <c r="F56" s="6">
        <v>4</v>
      </c>
      <c r="G56" s="6">
        <v>3</v>
      </c>
      <c r="H56" s="6">
        <v>3</v>
      </c>
      <c r="I56" s="12">
        <v>1</v>
      </c>
      <c r="J56" s="28" t="s">
        <v>117</v>
      </c>
      <c r="K56" s="28" t="s">
        <v>118</v>
      </c>
      <c r="L56" s="28" t="s">
        <v>98</v>
      </c>
      <c r="M56" s="6" t="s">
        <v>124</v>
      </c>
    </row>
    <row r="57" spans="1:13" ht="87" thickBot="1" x14ac:dyDescent="0.35">
      <c r="A57" s="80"/>
      <c r="B57" s="79"/>
      <c r="C57" s="79"/>
      <c r="D57" s="2" t="s">
        <v>4</v>
      </c>
      <c r="E57" s="22" t="s">
        <v>42</v>
      </c>
      <c r="F57" s="3">
        <v>5</v>
      </c>
      <c r="G57" s="3">
        <v>5</v>
      </c>
      <c r="H57" s="3">
        <v>5</v>
      </c>
      <c r="I57" s="3">
        <v>2</v>
      </c>
      <c r="J57" s="29" t="s">
        <v>64</v>
      </c>
      <c r="K57" s="3" t="s">
        <v>93</v>
      </c>
      <c r="L57" s="44" t="s">
        <v>125</v>
      </c>
      <c r="M57" s="44" t="s">
        <v>121</v>
      </c>
    </row>
    <row r="58" spans="1:13" ht="173.4" thickBot="1" x14ac:dyDescent="0.35">
      <c r="A58" s="80"/>
      <c r="B58" s="79"/>
      <c r="C58" s="79"/>
      <c r="D58" s="7" t="s">
        <v>46</v>
      </c>
      <c r="E58" s="22" t="s">
        <v>61</v>
      </c>
      <c r="F58" s="11">
        <v>5</v>
      </c>
      <c r="G58" s="11">
        <v>5</v>
      </c>
      <c r="H58" s="11">
        <v>5</v>
      </c>
      <c r="I58" s="11">
        <v>2</v>
      </c>
      <c r="J58" s="31" t="s">
        <v>83</v>
      </c>
      <c r="K58" s="8" t="s">
        <v>93</v>
      </c>
      <c r="L58" s="46" t="s">
        <v>125</v>
      </c>
      <c r="M58" s="46" t="s">
        <v>121</v>
      </c>
    </row>
    <row r="59" spans="1:13" ht="132.6" customHeight="1" thickBot="1" x14ac:dyDescent="0.35">
      <c r="A59" s="80">
        <v>10</v>
      </c>
      <c r="B59" s="79" t="s">
        <v>12</v>
      </c>
      <c r="C59" s="79" t="s">
        <v>22</v>
      </c>
      <c r="D59" s="5" t="s">
        <v>90</v>
      </c>
      <c r="E59" s="24" t="s">
        <v>33</v>
      </c>
      <c r="F59" s="12">
        <v>5</v>
      </c>
      <c r="G59" s="12">
        <v>5</v>
      </c>
      <c r="H59" s="12">
        <v>5</v>
      </c>
      <c r="I59" s="12">
        <v>2</v>
      </c>
      <c r="J59" s="6" t="s">
        <v>84</v>
      </c>
      <c r="K59" s="6" t="s">
        <v>93</v>
      </c>
      <c r="L59" s="28" t="s">
        <v>101</v>
      </c>
      <c r="M59" s="6" t="s">
        <v>121</v>
      </c>
    </row>
    <row r="60" spans="1:13" ht="159" customHeight="1" thickBot="1" x14ac:dyDescent="0.35">
      <c r="A60" s="80"/>
      <c r="B60" s="79"/>
      <c r="C60" s="79"/>
      <c r="D60" s="2" t="s">
        <v>4</v>
      </c>
      <c r="E60" s="25" t="s">
        <v>43</v>
      </c>
      <c r="F60" s="11">
        <v>5</v>
      </c>
      <c r="G60" s="11">
        <v>5</v>
      </c>
      <c r="H60" s="11">
        <v>5</v>
      </c>
      <c r="I60" s="13">
        <v>2</v>
      </c>
      <c r="J60" s="32" t="s">
        <v>85</v>
      </c>
      <c r="K60" s="3" t="s">
        <v>93</v>
      </c>
      <c r="L60" s="29" t="s">
        <v>89</v>
      </c>
      <c r="M60" s="3" t="s">
        <v>121</v>
      </c>
    </row>
    <row r="61" spans="1:13" ht="216.6" customHeight="1" thickBot="1" x14ac:dyDescent="0.35">
      <c r="A61" s="80"/>
      <c r="B61" s="79"/>
      <c r="C61" s="79"/>
      <c r="D61" s="7" t="s">
        <v>46</v>
      </c>
      <c r="E61" s="26" t="s">
        <v>62</v>
      </c>
      <c r="F61" s="10">
        <v>5</v>
      </c>
      <c r="G61" s="10">
        <v>5</v>
      </c>
      <c r="H61" s="10">
        <v>5</v>
      </c>
      <c r="I61" s="10">
        <v>2</v>
      </c>
      <c r="J61" s="33" t="s">
        <v>65</v>
      </c>
      <c r="K61" s="8" t="s">
        <v>93</v>
      </c>
      <c r="L61" s="46" t="s">
        <v>125</v>
      </c>
      <c r="M61" s="46" t="s">
        <v>121</v>
      </c>
    </row>
    <row r="62" spans="1:13" ht="18" x14ac:dyDescent="0.3">
      <c r="B62" s="1"/>
    </row>
  </sheetData>
  <mergeCells count="31">
    <mergeCell ref="A38:A40"/>
    <mergeCell ref="B38:B40"/>
    <mergeCell ref="C38:C40"/>
    <mergeCell ref="A41:A43"/>
    <mergeCell ref="B41:B43"/>
    <mergeCell ref="C41:C43"/>
    <mergeCell ref="C53:C55"/>
    <mergeCell ref="A56:A58"/>
    <mergeCell ref="B56:B58"/>
    <mergeCell ref="C56:C58"/>
    <mergeCell ref="A44:A46"/>
    <mergeCell ref="B44:B46"/>
    <mergeCell ref="A47:A49"/>
    <mergeCell ref="B47:B49"/>
    <mergeCell ref="C47:C49"/>
    <mergeCell ref="A29:D29"/>
    <mergeCell ref="B50:B52"/>
    <mergeCell ref="C50:C52"/>
    <mergeCell ref="B59:B61"/>
    <mergeCell ref="C59:C61"/>
    <mergeCell ref="C44:C46"/>
    <mergeCell ref="A50:A52"/>
    <mergeCell ref="A59:A61"/>
    <mergeCell ref="A32:A34"/>
    <mergeCell ref="B32:B34"/>
    <mergeCell ref="C32:C34"/>
    <mergeCell ref="A35:A37"/>
    <mergeCell ref="B35:B37"/>
    <mergeCell ref="C35:C37"/>
    <mergeCell ref="A53:A55"/>
    <mergeCell ref="B53:B55"/>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9988-5C74-4E3E-9856-B73B58DE8D2B}">
  <dimension ref="A2:F12"/>
  <sheetViews>
    <sheetView workbookViewId="0">
      <selection activeCell="F11" sqref="F11:F12"/>
    </sheetView>
  </sheetViews>
  <sheetFormatPr defaultRowHeight="14.4" x14ac:dyDescent="0.3"/>
  <cols>
    <col min="1" max="1" width="11.88671875" customWidth="1"/>
    <col min="2" max="2" width="12.88671875" customWidth="1"/>
    <col min="3" max="3" width="16.33203125" customWidth="1"/>
    <col min="4" max="4" width="17.21875" customWidth="1"/>
    <col min="5" max="5" width="14" customWidth="1"/>
    <col min="6" max="6" width="17.6640625" customWidth="1"/>
  </cols>
  <sheetData>
    <row r="2" spans="1:6" ht="18.600000000000001" thickBot="1" x14ac:dyDescent="0.4">
      <c r="A2" s="43" t="s">
        <v>127</v>
      </c>
    </row>
    <row r="3" spans="1:6" ht="24" customHeight="1" thickBot="1" x14ac:dyDescent="0.35">
      <c r="A3" s="49" t="s">
        <v>0</v>
      </c>
      <c r="B3" s="50" t="s">
        <v>113</v>
      </c>
      <c r="C3" s="50" t="s">
        <v>112</v>
      </c>
      <c r="D3" s="50" t="s">
        <v>111</v>
      </c>
      <c r="E3" s="50" t="s">
        <v>114</v>
      </c>
      <c r="F3" s="51" t="s">
        <v>110</v>
      </c>
    </row>
    <row r="4" spans="1:6" ht="22.2" customHeight="1" x14ac:dyDescent="0.3">
      <c r="A4" s="52" t="s">
        <v>90</v>
      </c>
      <c r="B4" s="42">
        <f>AVERAGE('AI response evaluation '!F32,'AI response evaluation '!F35,'AI response evaluation '!F38,'AI response evaluation '!F41,'AI response evaluation '!F45,'AI response evaluation '!F47,'AI response evaluation '!F50,'AI response evaluation '!F53,'AI response evaluation '!F56,'AI response evaluation '!F59)</f>
        <v>4.9000000000000004</v>
      </c>
      <c r="C4" s="42">
        <f>AVERAGE('AI response evaluation '!G32,'AI response evaluation '!G35,'AI response evaluation '!G38,'AI response evaluation '!G41,'AI response evaluation '!G45,'AI response evaluation '!G47,'AI response evaluation '!G50,'AI response evaluation '!G53,'AI response evaluation '!G56,'AI response evaluation '!G59)</f>
        <v>4.8</v>
      </c>
      <c r="D4" s="42">
        <f>AVERAGE('AI response evaluation '!H32,'AI response evaluation '!H35,'AI response evaluation '!H38,'AI response evaluation '!H41,'AI response evaluation '!H45,'AI response evaluation '!H47,'AI response evaluation '!H50,'AI response evaluation '!H53,'AI response evaluation '!H56,'AI response evaluation '!H59)</f>
        <v>4.5</v>
      </c>
      <c r="E4" s="42">
        <f>AVERAGE('AI response evaluation '!I32,'AI response evaluation '!I35,'AI response evaluation '!I38,'AI response evaluation '!I41,'AI response evaluation '!I45,'AI response evaluation '!I47,'AI response evaluation '!I50,'AI response evaluation '!I53,'AI response evaluation '!I56,'AI response evaluation '!I59)</f>
        <v>1.9</v>
      </c>
      <c r="F4" s="35" t="s">
        <v>109</v>
      </c>
    </row>
    <row r="5" spans="1:6" ht="22.2" customHeight="1" x14ac:dyDescent="0.3">
      <c r="A5" s="53" t="s">
        <v>4</v>
      </c>
      <c r="B5" s="37">
        <f>AVERAGE('AI response evaluation '!F33,'AI response evaluation '!F36,'AI response evaluation '!F39,'AI response evaluation '!F42,'AI response evaluation '!F46,'AI response evaluation '!F48,'AI response evaluation '!F51,'AI response evaluation '!F54,'AI response evaluation '!F57,'AI response evaluation '!F60)</f>
        <v>5</v>
      </c>
      <c r="C5" s="37">
        <f>AVERAGE('AI response evaluation '!G33,'AI response evaluation '!G36,'AI response evaluation '!G39,'AI response evaluation '!G42,'AI response evaluation '!G46,'AI response evaluation '!G48,'AI response evaluation '!G51,'AI response evaluation '!G54,'AI response evaluation '!G57,'AI response evaluation '!G60)</f>
        <v>5</v>
      </c>
      <c r="D5" s="37">
        <f>AVERAGE('AI response evaluation '!H33,'AI response evaluation '!H36,'AI response evaluation '!H39,'AI response evaluation '!H42,'AI response evaluation '!H46,'AI response evaluation '!H48,'AI response evaluation '!H51,'AI response evaluation '!H54,'AI response evaluation '!H57,'AI response evaluation '!H60)</f>
        <v>5</v>
      </c>
      <c r="E5" s="37">
        <f>AVERAGE('AI response evaluation '!I33,'AI response evaluation '!I36,'AI response evaluation '!I39,'AI response evaluation '!I42,'AI response evaluation '!I46,'AI response evaluation '!I48,'AI response evaluation '!I51,'AI response evaluation '!I54,'AI response evaluation '!I57,'AI response evaluation '!I60)</f>
        <v>2</v>
      </c>
      <c r="F5" s="38" t="s">
        <v>121</v>
      </c>
    </row>
    <row r="6" spans="1:6" ht="22.2" customHeight="1" thickBot="1" x14ac:dyDescent="0.35">
      <c r="A6" s="54" t="s">
        <v>46</v>
      </c>
      <c r="B6" s="40">
        <f>AVERAGE('AI response evaluation '!F34,'AI response evaluation '!F37,'AI response evaluation '!F40,'AI response evaluation '!F43,'AI response evaluation '!F47,'AI response evaluation '!F49,'AI response evaluation '!F52,'AI response evaluation '!F55,'AI response evaluation '!F58,'AI response evaluation '!F61)</f>
        <v>4.9000000000000004</v>
      </c>
      <c r="C6" s="40">
        <f>AVERAGE('AI response evaluation '!G34,'AI response evaluation '!G37,'AI response evaluation '!G40,'AI response evaluation '!G43,'AI response evaluation '!G47,'AI response evaluation '!G49,'AI response evaluation '!G52,'AI response evaluation '!G55,'AI response evaluation '!G58,'AI response evaluation '!G61)</f>
        <v>4.9000000000000004</v>
      </c>
      <c r="D6" s="40">
        <f>AVERAGE('AI response evaluation '!H34,'AI response evaluation '!H37,'AI response evaluation '!H40,'AI response evaluation '!H43,'AI response evaluation '!H47,'AI response evaluation '!H49,'AI response evaluation '!H52,'AI response evaluation '!H55,'AI response evaluation '!H58,'AI response evaluation '!H61)</f>
        <v>4.9000000000000004</v>
      </c>
      <c r="E6" s="40">
        <f>AVERAGE('AI response evaluation '!I34,'AI response evaluation '!I37,'AI response evaluation '!I40,'AI response evaluation '!I43,'AI response evaluation '!I47,'AI response evaluation '!I49,'AI response evaluation '!I52,'AI response evaluation '!I55,'AI response evaluation '!I58,'AI response evaluation '!I61)</f>
        <v>1.9</v>
      </c>
      <c r="F6" s="41" t="s">
        <v>108</v>
      </c>
    </row>
    <row r="8" spans="1:6" ht="21.6" customHeight="1" thickBot="1" x14ac:dyDescent="0.35">
      <c r="A8" s="81" t="s">
        <v>128</v>
      </c>
      <c r="B8" s="81"/>
      <c r="C8" s="81"/>
      <c r="D8" s="81"/>
      <c r="E8" s="47"/>
    </row>
    <row r="9" spans="1:6" ht="29.4" thickBot="1" x14ac:dyDescent="0.35">
      <c r="A9" s="57" t="s">
        <v>126</v>
      </c>
      <c r="B9" s="58" t="s">
        <v>121</v>
      </c>
      <c r="C9" s="58" t="s">
        <v>109</v>
      </c>
      <c r="D9" s="59" t="s">
        <v>108</v>
      </c>
      <c r="E9" s="48"/>
    </row>
    <row r="10" spans="1:6" ht="22.2" customHeight="1" x14ac:dyDescent="0.3">
      <c r="A10" s="34" t="s">
        <v>90</v>
      </c>
      <c r="B10" s="12">
        <f>COUNTIFS('AI response evaluation '!D32:D61, "ChatGPT-5", 'AI response evaluation '!M32:M61, "No error")</f>
        <v>9</v>
      </c>
      <c r="C10" s="12">
        <f>COUNTIFS('AI response evaluation '!D32:D61, "ChatGPT-5", 'AI response evaluation '!M32:M61, "Oversimplification")</f>
        <v>1</v>
      </c>
      <c r="D10" s="60">
        <f>COUNTIFS('AI response evaluation '!D32:D61, "ChatGPT-5", 'AI response evaluation '!M32:M61, "Misleading phrasing")</f>
        <v>0</v>
      </c>
      <c r="E10" s="48"/>
    </row>
    <row r="11" spans="1:6" ht="22.2" customHeight="1" x14ac:dyDescent="0.3">
      <c r="A11" s="36" t="s">
        <v>4</v>
      </c>
      <c r="B11" s="3">
        <f>COUNTIFS('AI response evaluation '!D32:D61, "Claude", 'AI response evaluation '!M32:M61, "No error")</f>
        <v>10</v>
      </c>
      <c r="C11" s="3">
        <f>COUNTIFS('AI response evaluation '!D32:D61, "Claude", 'AI response evaluation '!M32:M61, "Oversimplification")</f>
        <v>0</v>
      </c>
      <c r="D11" s="55">
        <f>COUNTIFS('AI response evaluation '!D32:D61, "Claude", 'AI response evaluation '!M32:M61, "Misleading phrasing")</f>
        <v>0</v>
      </c>
      <c r="E11" s="48"/>
    </row>
    <row r="12" spans="1:6" ht="22.2" customHeight="1" thickBot="1" x14ac:dyDescent="0.35">
      <c r="A12" s="39" t="s">
        <v>46</v>
      </c>
      <c r="B12" s="10">
        <f>COUNTIFS('AI response evaluation '!D32:D61, "Copilot", 'AI response evaluation '!M32:M61, "No error")</f>
        <v>9</v>
      </c>
      <c r="C12" s="10">
        <f>COUNTIFS('AI response evaluation '!D32:D61, "Copilot", 'AI response evaluation '!M32:M61, "Oversimplification")</f>
        <v>0</v>
      </c>
      <c r="D12" s="56">
        <f>COUNTIFS('AI response evaluation '!D32:D61, "Copilot", 'AI response evaluation '!M32:M61, "Misleading phrasing")</f>
        <v>1</v>
      </c>
    </row>
  </sheetData>
  <mergeCells count="1">
    <mergeCell ref="A8: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6A005-DE7F-426A-9163-9BC188128668}">
  <dimension ref="A16:A36"/>
  <sheetViews>
    <sheetView workbookViewId="0">
      <selection activeCell="M21" sqref="M21"/>
    </sheetView>
  </sheetViews>
  <sheetFormatPr defaultRowHeight="14.4" x14ac:dyDescent="0.3"/>
  <sheetData>
    <row r="16" spans="1:1" x14ac:dyDescent="0.3">
      <c r="A16" s="15" t="s">
        <v>129</v>
      </c>
    </row>
    <row r="17" spans="1:1" x14ac:dyDescent="0.3">
      <c r="A17" s="61"/>
    </row>
    <row r="18" spans="1:1" x14ac:dyDescent="0.3">
      <c r="A18" s="61" t="s">
        <v>135</v>
      </c>
    </row>
    <row r="19" spans="1:1" x14ac:dyDescent="0.3">
      <c r="A19" s="61"/>
    </row>
    <row r="20" spans="1:1" x14ac:dyDescent="0.3">
      <c r="A20" s="61" t="s">
        <v>133</v>
      </c>
    </row>
    <row r="21" spans="1:1" x14ac:dyDescent="0.3">
      <c r="A21" s="61"/>
    </row>
    <row r="22" spans="1:1" x14ac:dyDescent="0.3">
      <c r="A22" s="61" t="s">
        <v>134</v>
      </c>
    </row>
    <row r="24" spans="1:1" x14ac:dyDescent="0.3">
      <c r="A24" s="15" t="s">
        <v>130</v>
      </c>
    </row>
    <row r="26" spans="1:1" x14ac:dyDescent="0.3">
      <c r="A26" t="s">
        <v>136</v>
      </c>
    </row>
    <row r="28" spans="1:1" x14ac:dyDescent="0.3">
      <c r="A28" t="s">
        <v>131</v>
      </c>
    </row>
    <row r="30" spans="1:1" x14ac:dyDescent="0.3">
      <c r="A30" t="s">
        <v>132</v>
      </c>
    </row>
    <row r="36" spans="1:1" x14ac:dyDescent="0.3">
      <c r="A36" s="1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AI response evaluation </vt:lpstr>
      <vt:lpstr>AI model performance summary</vt:lpstr>
      <vt:lpstr>Charts &amp; Observations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Jiya Saini (Leerling)</dc:creator>
  <cp:lastModifiedBy>Deepak Saini</cp:lastModifiedBy>
  <dcterms:created xsi:type="dcterms:W3CDTF">2025-11-24T19:53:51Z</dcterms:created>
  <dcterms:modified xsi:type="dcterms:W3CDTF">2025-12-08T20:55:19Z</dcterms:modified>
</cp:coreProperties>
</file>